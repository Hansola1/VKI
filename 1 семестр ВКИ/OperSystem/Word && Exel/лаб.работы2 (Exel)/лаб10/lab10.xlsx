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240" yWindow="108" windowWidth="14808" windowHeight="8016"/>
  </bookViews>
  <sheets>
    <sheet name="Лист1" sheetId="1" r:id="rId1"/>
  </sheets>
  <definedNames>
    <definedName name="solver_adj" localSheetId="0" hidden="1">Лист1!$A$3:$B$3</definedName>
    <definedName name="solver_cvg" localSheetId="0" hidden="1">0.0001</definedName>
    <definedName name="solver_drv" localSheetId="0" hidden="1">1</definedName>
    <definedName name="solver_eng" localSheetId="0" hidden="1">2</definedName>
    <definedName name="solver_est" localSheetId="0" hidden="1">1</definedName>
    <definedName name="solver_itr" localSheetId="0" hidden="1">2147483647</definedName>
    <definedName name="solver_lhs1" localSheetId="0" hidden="1">Лист1!$A$3:$B$3</definedName>
    <definedName name="solver_lhs2" localSheetId="0" hidden="1">Лист1!$A$7:$A$10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2</definedName>
    <definedName name="solver_nwt" localSheetId="0" hidden="1">1</definedName>
    <definedName name="solver_opt" localSheetId="0" hidden="1">Лист1!$B$4</definedName>
    <definedName name="solver_pre" localSheetId="0" hidden="1">0.0001</definedName>
    <definedName name="solver_rbv" localSheetId="0" hidden="1">1</definedName>
    <definedName name="solver_rel1" localSheetId="0" hidden="1">3</definedName>
    <definedName name="solver_rel2" localSheetId="0" hidden="1">1</definedName>
    <definedName name="solver_rhs1" localSheetId="0" hidden="1">0</definedName>
    <definedName name="solver_rhs2" localSheetId="0" hidden="1">Лист1!$B$7:$B$10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52511"/>
</workbook>
</file>

<file path=xl/calcChain.xml><?xml version="1.0" encoding="utf-8"?>
<calcChain xmlns="http://schemas.openxmlformats.org/spreadsheetml/2006/main">
  <c r="B4" i="1" l="1"/>
  <c r="A10" i="1" l="1"/>
  <c r="A9" i="1"/>
  <c r="A8" i="1"/>
  <c r="A7" i="1"/>
</calcChain>
</file>

<file path=xl/sharedStrings.xml><?xml version="1.0" encoding="utf-8"?>
<sst xmlns="http://schemas.openxmlformats.org/spreadsheetml/2006/main" count="8" uniqueCount="8">
  <si>
    <t>Переменные:</t>
  </si>
  <si>
    <t>Функция цели</t>
  </si>
  <si>
    <t>Ограничения:</t>
  </si>
  <si>
    <t>Исходный продукт</t>
  </si>
  <si>
    <t>Расход исходных продуктов (в тоннах) на тонну краски</t>
  </si>
  <si>
    <t>Максимально возможный запас, т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</si>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</sst>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center" shrinkToFit="1"/>
    </xf>
    <xf numFmtId="0" fontId="0" fillId="0" borderId="0" xfId="0" applyBorder="1"/>
    <xf numFmtId="0" fontId="0" fillId="0" borderId="0" xfId="0" applyFill="1" applyBorder="1"/>
    <xf numFmtId="164" fontId="0" fillId="0" borderId="0" xfId="0" applyNumberFormat="1" applyFill="1" applyBorder="1"/>
    <xf numFmtId="0" fontId="1" fillId="0" borderId="10" xfId="0" applyFont="1" applyBorder="1" applyAlignment="1">
      <alignment horizontal="center" wrapText="1"/>
    </xf>
    <xf numFmtId="0" fontId="1" fillId="0" borderId="8" xfId="0" applyFont="1" applyBorder="1" applyAlignment="1">
      <alignment horizontal="center" wrapText="1"/>
    </xf>
    <xf numFmtId="0" fontId="1" fillId="0" borderId="9" xfId="0" applyFont="1" applyBorder="1" applyAlignment="1">
      <alignment horizontal="center" wrapText="1"/>
    </xf>
    <xf numFmtId="0" fontId="0" fillId="0" borderId="2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4" xfId="0" applyFill="1" applyBorder="1"/>
    <xf numFmtId="0" fontId="0" fillId="0" borderId="2" xfId="0" applyFill="1" applyBorder="1"/>
    <xf numFmtId="0" fontId="0" fillId="0" borderId="6" xfId="0" applyFill="1" applyBorder="1"/>
    <xf numFmtId="0" fontId="0" fillId="0" borderId="3" xfId="0" applyFill="1" applyBorder="1"/>
    <xf numFmtId="0" fontId="0" fillId="0" borderId="1" xfId="0" applyFill="1" applyBorder="1"/>
    <xf numFmtId="0" fontId="0" fillId="0" borderId="11" xfId="0" applyFill="1" applyBorder="1"/>
    <xf numFmtId="164" fontId="0" fillId="0" borderId="6" xfId="0" applyNumberFormat="1" applyFill="1" applyBorder="1"/>
    <xf numFmtId="164" fontId="0" fillId="0" borderId="1" xfId="0" applyNumberFormat="1" applyFill="1" applyBorder="1"/>
    <xf numFmtId="0" fontId="0" fillId="2" borderId="12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320040</xdr:colOff>
      <xdr:row>12</xdr:row>
      <xdr:rowOff>175260</xdr:rowOff>
    </xdr:from>
    <xdr:ext cx="65" cy="172227"/>
    <xdr:sp macro="" textlink="">
      <xdr:nvSpPr>
        <xdr:cNvPr id="2" name="TextBox 1"/>
        <xdr:cNvSpPr txBox="1"/>
      </xdr:nvSpPr>
      <xdr:spPr>
        <a:xfrm>
          <a:off x="6758940" y="23698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0</xdr:col>
      <xdr:colOff>30480</xdr:colOff>
      <xdr:row>1</xdr:row>
      <xdr:rowOff>7620</xdr:rowOff>
    </xdr:from>
    <xdr:ext cx="192296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/>
            <xdr:cNvSpPr txBox="1"/>
          </xdr:nvSpPr>
          <xdr:spPr>
            <a:xfrm>
              <a:off x="30480" y="190500"/>
              <a:ext cx="19229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ru-R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𝑋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𝐸</m:t>
                        </m:r>
                      </m:sub>
                    </m:sSub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3" name="TextBox 2"/>
            <xdr:cNvSpPr txBox="1"/>
          </xdr:nvSpPr>
          <xdr:spPr>
            <a:xfrm>
              <a:off x="30480" y="190500"/>
              <a:ext cx="19229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𝑋</a:t>
              </a:r>
              <a:r>
                <a:rPr lang="ru-RU" sz="1100" b="0" i="0">
                  <a:latin typeface="Cambria Math" panose="02040503050406030204" pitchFamily="18" charset="0"/>
                </a:rPr>
                <a:t>_</a:t>
              </a:r>
              <a:r>
                <a:rPr lang="en-US" sz="1100" b="0" i="0">
                  <a:latin typeface="Cambria Math" panose="02040503050406030204" pitchFamily="18" charset="0"/>
                </a:rPr>
                <a:t>𝐸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1</xdr:col>
      <xdr:colOff>15240</xdr:colOff>
      <xdr:row>1</xdr:row>
      <xdr:rowOff>7620</xdr:rowOff>
    </xdr:from>
    <xdr:ext cx="165943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/>
            <xdr:cNvSpPr txBox="1"/>
          </xdr:nvSpPr>
          <xdr:spPr>
            <a:xfrm>
              <a:off x="967740" y="190500"/>
              <a:ext cx="165943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ru-R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𝑋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𝐼</m:t>
                        </m:r>
                      </m:sub>
                    </m:sSub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4" name="TextBox 3"/>
            <xdr:cNvSpPr txBox="1"/>
          </xdr:nvSpPr>
          <xdr:spPr>
            <a:xfrm>
              <a:off x="967740" y="190500"/>
              <a:ext cx="165943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𝑋</a:t>
              </a:r>
              <a:r>
                <a:rPr lang="ru-RU" sz="1100" b="0" i="0">
                  <a:latin typeface="Cambria Math" panose="02040503050406030204" pitchFamily="18" charset="0"/>
                </a:rPr>
                <a:t>_</a:t>
              </a:r>
              <a:r>
                <a:rPr lang="en-US" sz="1100" b="0" i="0">
                  <a:latin typeface="Cambria Math" panose="02040503050406030204" pitchFamily="18" charset="0"/>
                </a:rPr>
                <a:t>𝐼</a:t>
              </a:r>
              <a:endParaRPr lang="ru-RU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3"/>
  <sheetViews>
    <sheetView tabSelected="1" workbookViewId="0">
      <selection activeCell="E13" sqref="E13"/>
    </sheetView>
  </sheetViews>
  <sheetFormatPr defaultRowHeight="14.4" x14ac:dyDescent="0.3"/>
  <cols>
    <col min="1" max="1" width="13.88671875" customWidth="1"/>
    <col min="5" max="5" width="14.6640625" customWidth="1"/>
    <col min="6" max="6" width="17.5546875" customWidth="1"/>
    <col min="7" max="7" width="18.21875" customWidth="1"/>
    <col min="8" max="8" width="25.109375" customWidth="1"/>
  </cols>
  <sheetData>
    <row r="1" spans="1:22" ht="29.4" thickBot="1" x14ac:dyDescent="0.35">
      <c r="A1" s="22" t="s">
        <v>0</v>
      </c>
      <c r="B1" s="23"/>
      <c r="C1" s="3"/>
      <c r="E1" s="5" t="s">
        <v>3</v>
      </c>
      <c r="F1" s="6" t="s">
        <v>4</v>
      </c>
      <c r="G1" s="7"/>
      <c r="H1" s="5" t="s">
        <v>5</v>
      </c>
    </row>
    <row r="2" spans="1:22" x14ac:dyDescent="0.3">
      <c r="A2" s="14"/>
      <c r="B2" s="19"/>
      <c r="C2" s="3"/>
      <c r="E2" s="8" t="s">
        <v>6</v>
      </c>
      <c r="F2" s="9">
        <v>1</v>
      </c>
      <c r="G2" s="9">
        <v>2</v>
      </c>
      <c r="H2" s="10">
        <v>6</v>
      </c>
    </row>
    <row r="3" spans="1:22" ht="15" thickBot="1" x14ac:dyDescent="0.35">
      <c r="A3" s="20">
        <v>3.3333333333333335</v>
      </c>
      <c r="B3" s="21">
        <v>1.3333333333333333</v>
      </c>
      <c r="C3" s="3"/>
      <c r="E3" s="11" t="s">
        <v>7</v>
      </c>
      <c r="F3" s="12">
        <v>2</v>
      </c>
      <c r="G3" s="12">
        <v>1</v>
      </c>
      <c r="H3" s="13">
        <v>8</v>
      </c>
      <c r="U3" s="2"/>
      <c r="V3" s="2"/>
    </row>
    <row r="4" spans="1:22" x14ac:dyDescent="0.3">
      <c r="A4" s="15" t="s">
        <v>1</v>
      </c>
      <c r="B4" s="17">
        <f>3000*A3+2000*B3</f>
        <v>12666.666666666666</v>
      </c>
      <c r="C4" s="3"/>
    </row>
    <row r="5" spans="1:22" ht="15" thickBot="1" x14ac:dyDescent="0.35">
      <c r="A5" s="16"/>
      <c r="B5" s="18"/>
      <c r="C5" s="3"/>
    </row>
    <row r="6" spans="1:22" x14ac:dyDescent="0.3">
      <c r="A6" s="15" t="s">
        <v>2</v>
      </c>
      <c r="B6" s="17"/>
      <c r="C6" s="3"/>
    </row>
    <row r="7" spans="1:22" x14ac:dyDescent="0.3">
      <c r="A7" s="14">
        <f>A3+2*B3</f>
        <v>6</v>
      </c>
      <c r="B7" s="19">
        <v>6</v>
      </c>
      <c r="C7" s="3"/>
    </row>
    <row r="8" spans="1:22" x14ac:dyDescent="0.3">
      <c r="A8" s="14">
        <f>2*A3+B3</f>
        <v>8</v>
      </c>
      <c r="B8" s="19">
        <v>8</v>
      </c>
      <c r="C8" s="3"/>
    </row>
    <row r="9" spans="1:22" x14ac:dyDescent="0.3">
      <c r="A9" s="14">
        <f>B3-A3</f>
        <v>-2</v>
      </c>
      <c r="B9" s="19">
        <v>1</v>
      </c>
      <c r="C9" s="3"/>
    </row>
    <row r="10" spans="1:22" ht="15" thickBot="1" x14ac:dyDescent="0.35">
      <c r="A10" s="20">
        <f>B3</f>
        <v>1.3333333333333333</v>
      </c>
      <c r="B10" s="18">
        <v>2</v>
      </c>
      <c r="C10" s="3"/>
    </row>
    <row r="11" spans="1:22" x14ac:dyDescent="0.3">
      <c r="A11" s="4"/>
      <c r="B11" s="3"/>
      <c r="C11" s="3"/>
    </row>
    <row r="13" spans="1:22" ht="13.8" customHeight="1" x14ac:dyDescent="0.3">
      <c r="A13" s="1"/>
    </row>
  </sheetData>
  <mergeCells count="2">
    <mergeCell ref="F1:G1"/>
    <mergeCell ref="A1:B1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2023-11-16T16:34:07Z</dcterms:modified>
</cp:coreProperties>
</file>