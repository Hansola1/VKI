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 activeTab="2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C4" i="3"/>
  <c r="C5"/>
  <c r="C6"/>
  <c r="C7"/>
  <c r="C8"/>
  <c r="C9"/>
  <c r="C10"/>
  <c r="C11"/>
  <c r="C12"/>
  <c r="C13"/>
  <c r="B6"/>
  <c r="B7"/>
  <c r="B8"/>
  <c r="B9"/>
  <c r="B10"/>
  <c r="B11"/>
  <c r="B12"/>
  <c r="B13"/>
  <c r="B5"/>
  <c r="F11" i="2"/>
  <c r="E11"/>
  <c r="E10"/>
  <c r="F10" s="1"/>
  <c r="F9"/>
  <c r="E9"/>
  <c r="E8"/>
  <c r="F8" s="1"/>
  <c r="F7"/>
  <c r="E7"/>
  <c r="E6"/>
  <c r="F6" s="1"/>
  <c r="D13" i="1"/>
  <c r="E13"/>
  <c r="F13"/>
  <c r="G13"/>
  <c r="H13"/>
  <c r="C13"/>
  <c r="H6"/>
  <c r="H7"/>
  <c r="H8"/>
  <c r="H9"/>
  <c r="H10"/>
  <c r="H11"/>
  <c r="H12"/>
  <c r="H5"/>
  <c r="F6"/>
  <c r="F7"/>
  <c r="F8"/>
  <c r="F9"/>
  <c r="F10"/>
  <c r="F11"/>
  <c r="F12"/>
  <c r="E6"/>
  <c r="E7"/>
  <c r="E8"/>
  <c r="E9"/>
  <c r="E10"/>
  <c r="E11"/>
  <c r="E12"/>
  <c r="F5"/>
  <c r="E5"/>
  <c r="D5"/>
  <c r="D6"/>
  <c r="D7"/>
  <c r="D8"/>
  <c r="D9"/>
  <c r="D10"/>
  <c r="D11"/>
  <c r="D12"/>
  <c r="G6"/>
  <c r="G7"/>
  <c r="G8"/>
  <c r="G9"/>
  <c r="G10"/>
  <c r="G11"/>
  <c r="G12"/>
  <c r="G5"/>
  <c r="F12" i="2" l="1"/>
  <c r="E12"/>
</calcChain>
</file>

<file path=xl/sharedStrings.xml><?xml version="1.0" encoding="utf-8"?>
<sst xmlns="http://schemas.openxmlformats.org/spreadsheetml/2006/main" count="39" uniqueCount="38">
  <si>
    <t>№</t>
  </si>
  <si>
    <t>Ф.И.О</t>
  </si>
  <si>
    <t>Оклад</t>
  </si>
  <si>
    <t>Всего на руки</t>
  </si>
  <si>
    <t>Иванов</t>
  </si>
  <si>
    <t>Перов</t>
  </si>
  <si>
    <t>Сидоров</t>
  </si>
  <si>
    <t>Омаров</t>
  </si>
  <si>
    <t>Сыздыков</t>
  </si>
  <si>
    <t>Оспанов</t>
  </si>
  <si>
    <t>Ахметов</t>
  </si>
  <si>
    <t>Налоги</t>
  </si>
  <si>
    <t>Отчет по зарплате АО "Аланко"</t>
  </si>
  <si>
    <t>Садыков</t>
  </si>
  <si>
    <t>ИТОГО:</t>
  </si>
  <si>
    <t>Премия 11%</t>
  </si>
  <si>
    <t>Пенс.взносы 10%</t>
  </si>
  <si>
    <t>Подох.налоги 12%</t>
  </si>
  <si>
    <t>Проф.взносы 5%</t>
  </si>
  <si>
    <t>АО "Белый ветер"</t>
  </si>
  <si>
    <t>Курс =</t>
  </si>
  <si>
    <t>Наименование продукции</t>
  </si>
  <si>
    <t>Цена за ед. , долл</t>
  </si>
  <si>
    <t>Продано, шт</t>
  </si>
  <si>
    <t>Выручка от продажи, долл</t>
  </si>
  <si>
    <t>Выручка от продажи, руб</t>
  </si>
  <si>
    <t>Телевизоры</t>
  </si>
  <si>
    <t>Видеомагнитофоны</t>
  </si>
  <si>
    <t>Музыкальные центры</t>
  </si>
  <si>
    <t>Видеокамеры</t>
  </si>
  <si>
    <t>Видеоплееры</t>
  </si>
  <si>
    <t>Аудиоплееры</t>
  </si>
  <si>
    <t>Итого сумма выручки</t>
  </si>
  <si>
    <t>d =</t>
  </si>
  <si>
    <t>Вычисление n-го члена и суммы арифметической про-грессии</t>
  </si>
  <si>
    <t>n</t>
  </si>
  <si>
    <t>an</t>
  </si>
  <si>
    <t>Sn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</si>
</sst>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4" fillId="2" borderId="2" xfId="0" applyFont="1" applyFill="1" applyBorder="1" applyAlignment="1">
      <alignment horizontal="center" vertical="center" textRotation="90" wrapText="1"/>
    </xf>
    <xf numFmtId="0" fontId="4" fillId="2" borderId="3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textRotation="90"/>
    </xf>
    <xf numFmtId="0" fontId="4" fillId="2" borderId="3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4" xfId="0" applyFont="1" applyBorder="1"/>
    <xf numFmtId="0" fontId="2" fillId="0" borderId="6" xfId="0" applyFont="1" applyBorder="1" applyAlignment="1">
      <alignment horizontal="right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14" fontId="2" fillId="0" borderId="1" xfId="0" applyNumberFormat="1" applyFont="1" applyBorder="1"/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7" xfId="0" applyBorder="1"/>
    <xf numFmtId="0" fontId="1" fillId="0" borderId="7" xfId="0" applyFont="1" applyBorder="1" applyAlignment="1">
      <alignment horizontal="center" vertical="top" wrapText="1"/>
    </xf>
    <xf numFmtId="0" fontId="0" fillId="0" borderId="7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>
      <selection activeCell="H5" sqref="H5"/>
    </sheetView>
  </sheetViews>
  <sheetFormatPr defaultRowHeight="15"/>
  <cols>
    <col min="1" max="1" width="3" style="1" bestFit="1" customWidth="1"/>
    <col min="2" max="2" width="11.5703125" style="1" bestFit="1" customWidth="1"/>
    <col min="3" max="3" width="8.140625" style="1" customWidth="1"/>
    <col min="4" max="4" width="14.42578125" style="1" customWidth="1"/>
    <col min="5" max="5" width="14.5703125" style="1" customWidth="1"/>
    <col min="6" max="6" width="13.85546875" style="1" customWidth="1"/>
    <col min="7" max="7" width="9.140625" style="1"/>
    <col min="8" max="8" width="15.140625" style="1" bestFit="1" customWidth="1"/>
    <col min="9" max="9" width="9.140625" style="1"/>
    <col min="10" max="10" width="8" style="1" customWidth="1"/>
    <col min="11" max="11" width="20.5703125" style="1" customWidth="1"/>
    <col min="12" max="12" width="12.42578125" style="1" customWidth="1"/>
    <col min="13" max="13" width="10.140625" style="1" bestFit="1" customWidth="1"/>
    <col min="14" max="14" width="11.42578125" style="1" customWidth="1"/>
    <col min="15" max="15" width="13.42578125" style="1" customWidth="1"/>
    <col min="16" max="16384" width="9.140625" style="1"/>
  </cols>
  <sheetData>
    <row r="1" spans="1:8" ht="15.75" thickBot="1">
      <c r="D1" s="9" t="s">
        <v>12</v>
      </c>
      <c r="E1" s="10"/>
      <c r="F1" s="10"/>
      <c r="G1" s="10"/>
      <c r="H1" s="11"/>
    </row>
    <row r="2" spans="1:8" ht="15.75" customHeight="1" thickBot="1"/>
    <row r="3" spans="1:8" ht="16.5" customHeight="1" thickBot="1">
      <c r="A3" s="14" t="s">
        <v>0</v>
      </c>
      <c r="B3" s="14" t="s">
        <v>1</v>
      </c>
      <c r="C3" s="12" t="s">
        <v>2</v>
      </c>
      <c r="D3" s="2" t="s">
        <v>11</v>
      </c>
      <c r="E3" s="2"/>
      <c r="F3" s="2"/>
      <c r="G3" s="6" t="s">
        <v>15</v>
      </c>
      <c r="H3" s="6" t="s">
        <v>3</v>
      </c>
    </row>
    <row r="4" spans="1:8" ht="31.5" customHeight="1" thickBot="1">
      <c r="A4" s="15"/>
      <c r="B4" s="15"/>
      <c r="C4" s="13"/>
      <c r="D4" s="8" t="s">
        <v>18</v>
      </c>
      <c r="E4" s="8" t="s">
        <v>17</v>
      </c>
      <c r="F4" s="8" t="s">
        <v>16</v>
      </c>
      <c r="G4" s="7"/>
      <c r="H4" s="7"/>
    </row>
    <row r="5" spans="1:8" ht="15.75" thickBot="1">
      <c r="A5" s="3">
        <v>1</v>
      </c>
      <c r="B5" s="4" t="s">
        <v>4</v>
      </c>
      <c r="C5" s="4">
        <v>45200</v>
      </c>
      <c r="D5" s="4">
        <f>((C5+G5)/100)*5</f>
        <v>2508.6000000000004</v>
      </c>
      <c r="E5" s="4">
        <f>((C5+G5)/100)*12</f>
        <v>6020.64</v>
      </c>
      <c r="F5" s="4">
        <f>((C5+G5)/100)*10</f>
        <v>5017.2000000000007</v>
      </c>
      <c r="G5" s="4">
        <f>(C5/100)*11</f>
        <v>4972</v>
      </c>
      <c r="H5" s="4">
        <f>(C5+G5)-D5-E5-F5</f>
        <v>36625.56</v>
      </c>
    </row>
    <row r="6" spans="1:8" ht="15.75" thickBot="1">
      <c r="A6" s="3">
        <v>2</v>
      </c>
      <c r="B6" s="4" t="s">
        <v>5</v>
      </c>
      <c r="C6" s="4">
        <v>32100</v>
      </c>
      <c r="D6" s="4">
        <f t="shared" ref="D6:D12" si="0">((C6+G6)/100)*5</f>
        <v>1781.55</v>
      </c>
      <c r="E6" s="4">
        <f t="shared" ref="E6:E12" si="1">((C6+G6)/100)*12</f>
        <v>4275.72</v>
      </c>
      <c r="F6" s="4">
        <f t="shared" ref="F6:F12" si="2">((C6+G6)/100)*10</f>
        <v>3563.1</v>
      </c>
      <c r="G6" s="4">
        <f t="shared" ref="G6:G12" si="3">(C6/100)*11</f>
        <v>3531</v>
      </c>
      <c r="H6" s="4">
        <f t="shared" ref="H6:H12" si="4">(C6+G6)-D6-E6-F6</f>
        <v>26010.629999999997</v>
      </c>
    </row>
    <row r="7" spans="1:8" ht="15.75" thickBot="1">
      <c r="A7" s="3">
        <v>3</v>
      </c>
      <c r="B7" s="4" t="s">
        <v>6</v>
      </c>
      <c r="C7" s="4">
        <v>25000</v>
      </c>
      <c r="D7" s="4">
        <f t="shared" si="0"/>
        <v>1387.5</v>
      </c>
      <c r="E7" s="4">
        <f t="shared" si="1"/>
        <v>3330</v>
      </c>
      <c r="F7" s="4">
        <f t="shared" si="2"/>
        <v>2775</v>
      </c>
      <c r="G7" s="4">
        <f t="shared" si="3"/>
        <v>2750</v>
      </c>
      <c r="H7" s="4">
        <f t="shared" si="4"/>
        <v>20257.5</v>
      </c>
    </row>
    <row r="8" spans="1:8" ht="15.75" thickBot="1">
      <c r="A8" s="3">
        <v>4</v>
      </c>
      <c r="B8" s="4" t="s">
        <v>7</v>
      </c>
      <c r="C8" s="4">
        <v>34000</v>
      </c>
      <c r="D8" s="4">
        <f t="shared" si="0"/>
        <v>1887</v>
      </c>
      <c r="E8" s="4">
        <f t="shared" si="1"/>
        <v>4528.7999999999993</v>
      </c>
      <c r="F8" s="4">
        <f t="shared" si="2"/>
        <v>3774</v>
      </c>
      <c r="G8" s="4">
        <f t="shared" si="3"/>
        <v>3740</v>
      </c>
      <c r="H8" s="4">
        <f t="shared" si="4"/>
        <v>27550.2</v>
      </c>
    </row>
    <row r="9" spans="1:8" ht="15.75" thickBot="1">
      <c r="A9" s="3">
        <v>5</v>
      </c>
      <c r="B9" s="4" t="s">
        <v>8</v>
      </c>
      <c r="C9" s="4">
        <v>52300</v>
      </c>
      <c r="D9" s="4">
        <f t="shared" si="0"/>
        <v>2902.6499999999996</v>
      </c>
      <c r="E9" s="4">
        <f t="shared" si="1"/>
        <v>6966.36</v>
      </c>
      <c r="F9" s="4">
        <f t="shared" si="2"/>
        <v>5805.2999999999993</v>
      </c>
      <c r="G9" s="4">
        <f t="shared" si="3"/>
        <v>5753</v>
      </c>
      <c r="H9" s="4">
        <f t="shared" si="4"/>
        <v>42378.69</v>
      </c>
    </row>
    <row r="10" spans="1:8" ht="15.75" thickBot="1">
      <c r="A10" s="3">
        <v>6</v>
      </c>
      <c r="B10" s="4" t="s">
        <v>13</v>
      </c>
      <c r="C10" s="4">
        <v>17800</v>
      </c>
      <c r="D10" s="4">
        <f t="shared" si="0"/>
        <v>987.90000000000009</v>
      </c>
      <c r="E10" s="4">
        <f t="shared" si="1"/>
        <v>2370.96</v>
      </c>
      <c r="F10" s="4">
        <f t="shared" si="2"/>
        <v>1975.8000000000002</v>
      </c>
      <c r="G10" s="4">
        <f t="shared" si="3"/>
        <v>1958</v>
      </c>
      <c r="H10" s="4">
        <f t="shared" si="4"/>
        <v>14423.34</v>
      </c>
    </row>
    <row r="11" spans="1:8" ht="15.75" thickBot="1">
      <c r="A11" s="3">
        <v>7</v>
      </c>
      <c r="B11" s="4" t="s">
        <v>9</v>
      </c>
      <c r="C11" s="4">
        <v>25000</v>
      </c>
      <c r="D11" s="4">
        <f t="shared" si="0"/>
        <v>1387.5</v>
      </c>
      <c r="E11" s="4">
        <f t="shared" si="1"/>
        <v>3330</v>
      </c>
      <c r="F11" s="4">
        <f t="shared" si="2"/>
        <v>2775</v>
      </c>
      <c r="G11" s="4">
        <f t="shared" si="3"/>
        <v>2750</v>
      </c>
      <c r="H11" s="4">
        <f t="shared" si="4"/>
        <v>20257.5</v>
      </c>
    </row>
    <row r="12" spans="1:8" ht="15.75" thickBot="1">
      <c r="A12" s="3">
        <v>8</v>
      </c>
      <c r="B12" s="4" t="s">
        <v>10</v>
      </c>
      <c r="C12" s="4">
        <v>34500</v>
      </c>
      <c r="D12" s="4">
        <f t="shared" si="0"/>
        <v>1914.75</v>
      </c>
      <c r="E12" s="4">
        <f t="shared" si="1"/>
        <v>4595.3999999999996</v>
      </c>
      <c r="F12" s="4">
        <f t="shared" si="2"/>
        <v>3829.5</v>
      </c>
      <c r="G12" s="4">
        <f t="shared" si="3"/>
        <v>3795</v>
      </c>
      <c r="H12" s="4">
        <f t="shared" si="4"/>
        <v>27955.35</v>
      </c>
    </row>
    <row r="13" spans="1:8" ht="15.75" thickBot="1">
      <c r="A13" s="4"/>
      <c r="B13" s="5" t="s">
        <v>14</v>
      </c>
      <c r="C13" s="16">
        <f>SUM(C5:C12)</f>
        <v>265900</v>
      </c>
      <c r="D13" s="16">
        <f t="shared" ref="D13:H13" si="5">SUM(D5:D12)</f>
        <v>14757.449999999999</v>
      </c>
      <c r="E13" s="16">
        <f t="shared" si="5"/>
        <v>35417.879999999997</v>
      </c>
      <c r="F13" s="16">
        <f t="shared" si="5"/>
        <v>29514.899999999998</v>
      </c>
      <c r="G13" s="16">
        <f t="shared" si="5"/>
        <v>29249</v>
      </c>
      <c r="H13" s="16">
        <f t="shared" si="5"/>
        <v>215458.77000000002</v>
      </c>
    </row>
    <row r="20" ht="48" customHeight="1"/>
  </sheetData>
  <mergeCells count="7">
    <mergeCell ref="A3:A4"/>
    <mergeCell ref="B3:B4"/>
    <mergeCell ref="C3:C4"/>
    <mergeCell ref="D1:H1"/>
    <mergeCell ref="D3:F3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selection activeCell="F6" sqref="F6"/>
    </sheetView>
  </sheetViews>
  <sheetFormatPr defaultRowHeight="15"/>
  <cols>
    <col min="1" max="1" width="7.5703125" customWidth="1"/>
    <col min="2" max="2" width="21" customWidth="1"/>
    <col min="3" max="3" width="12.28515625" bestFit="1" customWidth="1"/>
    <col min="4" max="4" width="10.140625" customWidth="1"/>
    <col min="5" max="5" width="13" customWidth="1"/>
    <col min="6" max="6" width="14" customWidth="1"/>
  </cols>
  <sheetData>
    <row r="1" spans="1:6" ht="15.75" thickBot="1">
      <c r="A1" s="19" t="s">
        <v>19</v>
      </c>
      <c r="B1" s="20"/>
      <c r="C1" s="1"/>
      <c r="D1" s="1"/>
      <c r="E1" s="1"/>
      <c r="F1" s="1"/>
    </row>
    <row r="2" spans="1:6" ht="15.75" thickBot="1">
      <c r="A2" s="1"/>
      <c r="B2" s="1"/>
      <c r="C2" s="1"/>
      <c r="D2" s="1"/>
      <c r="E2" s="1"/>
      <c r="F2" s="1"/>
    </row>
    <row r="3" spans="1:6" ht="15.75" thickBot="1">
      <c r="A3" s="17" t="s">
        <v>20</v>
      </c>
      <c r="B3" s="18">
        <v>130</v>
      </c>
      <c r="C3" s="1"/>
      <c r="D3" s="21">
        <v>38408</v>
      </c>
      <c r="E3" s="1"/>
      <c r="F3" s="1"/>
    </row>
    <row r="4" spans="1:6" ht="15.75" thickBot="1">
      <c r="A4" s="1"/>
      <c r="B4" s="1"/>
      <c r="C4" s="1"/>
      <c r="D4" s="1"/>
      <c r="E4" s="1"/>
      <c r="F4" s="1"/>
    </row>
    <row r="5" spans="1:6" ht="49.5" customHeight="1" thickBot="1">
      <c r="A5" s="24" t="s">
        <v>0</v>
      </c>
      <c r="B5" s="25" t="s">
        <v>21</v>
      </c>
      <c r="C5" s="25" t="s">
        <v>22</v>
      </c>
      <c r="D5" s="25" t="s">
        <v>23</v>
      </c>
      <c r="E5" s="25" t="s">
        <v>24</v>
      </c>
      <c r="F5" s="25" t="s">
        <v>25</v>
      </c>
    </row>
    <row r="6" spans="1:6" ht="15.75" thickBot="1">
      <c r="A6" s="4">
        <v>1</v>
      </c>
      <c r="B6" s="4" t="s">
        <v>26</v>
      </c>
      <c r="C6" s="4">
        <v>300</v>
      </c>
      <c r="D6" s="4">
        <v>10</v>
      </c>
      <c r="E6" s="4">
        <f>C6*D6</f>
        <v>3000</v>
      </c>
      <c r="F6" s="4">
        <f>E6*$B$3</f>
        <v>390000</v>
      </c>
    </row>
    <row r="7" spans="1:6" ht="15.75" thickBot="1">
      <c r="A7" s="4">
        <v>2</v>
      </c>
      <c r="B7" s="4" t="s">
        <v>27</v>
      </c>
      <c r="C7" s="4">
        <v>320</v>
      </c>
      <c r="D7" s="4">
        <v>5</v>
      </c>
      <c r="E7" s="4">
        <f>C7*D7</f>
        <v>1600</v>
      </c>
      <c r="F7" s="4">
        <f>E7*$B$3</f>
        <v>208000</v>
      </c>
    </row>
    <row r="8" spans="1:6" ht="15.75" thickBot="1">
      <c r="A8" s="4">
        <v>3</v>
      </c>
      <c r="B8" s="4" t="s">
        <v>28</v>
      </c>
      <c r="C8" s="4">
        <v>550</v>
      </c>
      <c r="D8" s="4">
        <v>6</v>
      </c>
      <c r="E8" s="4">
        <f>C8*D8</f>
        <v>3300</v>
      </c>
      <c r="F8" s="4">
        <f>E8*$B$3</f>
        <v>429000</v>
      </c>
    </row>
    <row r="9" spans="1:6" ht="15.75" thickBot="1">
      <c r="A9" s="4">
        <v>4</v>
      </c>
      <c r="B9" s="4" t="s">
        <v>29</v>
      </c>
      <c r="C9" s="4">
        <v>700</v>
      </c>
      <c r="D9" s="4">
        <v>2</v>
      </c>
      <c r="E9" s="4">
        <f>C9*D9</f>
        <v>1400</v>
      </c>
      <c r="F9" s="4">
        <f>E9*$B$3</f>
        <v>182000</v>
      </c>
    </row>
    <row r="10" spans="1:6" ht="15.75" thickBot="1">
      <c r="A10" s="4">
        <v>5</v>
      </c>
      <c r="B10" s="4" t="s">
        <v>30</v>
      </c>
      <c r="C10" s="4">
        <v>198</v>
      </c>
      <c r="D10" s="4">
        <v>7</v>
      </c>
      <c r="E10" s="4">
        <f>C10*D10</f>
        <v>1386</v>
      </c>
      <c r="F10" s="4">
        <f>E10*$B$3</f>
        <v>180180</v>
      </c>
    </row>
    <row r="11" spans="1:6" ht="15.75" thickBot="1">
      <c r="A11" s="4">
        <v>6</v>
      </c>
      <c r="B11" s="4" t="s">
        <v>31</v>
      </c>
      <c r="C11" s="4">
        <v>40</v>
      </c>
      <c r="D11" s="4">
        <v>4</v>
      </c>
      <c r="E11" s="4">
        <f>C11*D11</f>
        <v>160</v>
      </c>
      <c r="F11" s="4">
        <f>E11*$B$3</f>
        <v>20800</v>
      </c>
    </row>
    <row r="12" spans="1:6" ht="15.75" thickBot="1">
      <c r="A12" s="22" t="s">
        <v>32</v>
      </c>
      <c r="B12" s="23"/>
      <c r="C12" s="4"/>
      <c r="D12" s="4"/>
      <c r="E12" s="4">
        <f>SUM(E6:E11)</f>
        <v>10846</v>
      </c>
      <c r="F12" s="4">
        <f>SUM(F6:F11)</f>
        <v>1409980</v>
      </c>
    </row>
  </sheetData>
  <mergeCells count="2">
    <mergeCell ref="A1:B1"/>
    <mergeCell ref="A12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>
      <selection activeCell="E8" sqref="E8"/>
    </sheetView>
  </sheetViews>
  <sheetFormatPr defaultRowHeight="15"/>
  <cols>
    <col min="1" max="1" width="11.7109375" customWidth="1"/>
    <col min="2" max="2" width="10.140625" customWidth="1"/>
    <col min="3" max="3" width="9.140625" customWidth="1"/>
  </cols>
  <sheetData>
    <row r="1" spans="1:3">
      <c r="A1" s="26" t="s">
        <v>33</v>
      </c>
      <c r="B1" s="26">
        <v>0.72499999999999998</v>
      </c>
      <c r="C1" s="26"/>
    </row>
    <row r="2" spans="1:3" ht="53.25" customHeight="1">
      <c r="A2" s="27" t="s">
        <v>34</v>
      </c>
      <c r="B2" s="27"/>
      <c r="C2" s="27"/>
    </row>
    <row r="3" spans="1:3">
      <c r="A3" s="26" t="s">
        <v>35</v>
      </c>
      <c r="B3" s="28" t="s">
        <v>36</v>
      </c>
      <c r="C3" s="26" t="s">
        <v>37</v>
      </c>
    </row>
    <row r="4" spans="1:3">
      <c r="A4" s="26">
        <v>1</v>
      </c>
      <c r="B4" s="26">
        <v>-2</v>
      </c>
      <c r="C4" s="26">
        <f>($B$4+B4)*A4/2</f>
        <v>-2</v>
      </c>
    </row>
    <row r="5" spans="1:3">
      <c r="A5" s="26">
        <v>2</v>
      </c>
      <c r="B5" s="26">
        <f>$B$4 +$B$1*(A5-1)</f>
        <v>-1.2749999999999999</v>
      </c>
      <c r="C5" s="26">
        <f t="shared" ref="C5:C13" si="0">($B$4+B5)*A5/2</f>
        <v>-3.2749999999999999</v>
      </c>
    </row>
    <row r="6" spans="1:3">
      <c r="A6" s="26">
        <v>3</v>
      </c>
      <c r="B6" s="26">
        <f t="shared" ref="B6:B13" si="1">$B$4 +$B$1*(A6-1)</f>
        <v>-0.55000000000000004</v>
      </c>
      <c r="C6" s="26">
        <f t="shared" si="0"/>
        <v>-3.8249999999999997</v>
      </c>
    </row>
    <row r="7" spans="1:3">
      <c r="A7" s="26">
        <v>4</v>
      </c>
      <c r="B7" s="26">
        <f t="shared" si="1"/>
        <v>0.17499999999999982</v>
      </c>
      <c r="C7" s="26">
        <f t="shared" si="0"/>
        <v>-3.6500000000000004</v>
      </c>
    </row>
    <row r="8" spans="1:3">
      <c r="A8" s="26">
        <v>5</v>
      </c>
      <c r="B8" s="26">
        <f t="shared" si="1"/>
        <v>0.89999999999999991</v>
      </c>
      <c r="C8" s="26">
        <f t="shared" si="0"/>
        <v>-2.75</v>
      </c>
    </row>
    <row r="9" spans="1:3">
      <c r="A9" s="26">
        <v>6</v>
      </c>
      <c r="B9" s="26">
        <f t="shared" si="1"/>
        <v>1.625</v>
      </c>
      <c r="C9" s="26">
        <f t="shared" si="0"/>
        <v>-1.125</v>
      </c>
    </row>
    <row r="10" spans="1:3">
      <c r="A10" s="26">
        <v>7</v>
      </c>
      <c r="B10" s="26">
        <f t="shared" si="1"/>
        <v>2.3499999999999996</v>
      </c>
      <c r="C10" s="26">
        <f t="shared" si="0"/>
        <v>1.2249999999999988</v>
      </c>
    </row>
    <row r="11" spans="1:3">
      <c r="A11" s="26">
        <v>8</v>
      </c>
      <c r="B11" s="26">
        <f t="shared" si="1"/>
        <v>3.0750000000000002</v>
      </c>
      <c r="C11" s="26">
        <f t="shared" si="0"/>
        <v>4.3000000000000007</v>
      </c>
    </row>
    <row r="12" spans="1:3">
      <c r="A12" s="26">
        <v>9</v>
      </c>
      <c r="B12" s="26">
        <f t="shared" si="1"/>
        <v>3.8</v>
      </c>
      <c r="C12" s="26">
        <f t="shared" si="0"/>
        <v>8.1</v>
      </c>
    </row>
    <row r="13" spans="1:3">
      <c r="A13" s="26">
        <v>10</v>
      </c>
      <c r="B13" s="26">
        <f t="shared" si="1"/>
        <v>4.5249999999999995</v>
      </c>
      <c r="C13" s="26">
        <f t="shared" si="0"/>
        <v>12.624999999999996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BessonovVA</dc:creator>
  <cp:lastModifiedBy>BessonovVA</cp:lastModifiedBy>
  <dcterms:created xsi:type="dcterms:W3CDTF">2023-10-27T02:24:10Z</dcterms:created>
  <dcterms:modified xsi:type="dcterms:W3CDTF">2023-10-27T03:24:57Z</dcterms:modified>
</cp:coreProperties>
</file>