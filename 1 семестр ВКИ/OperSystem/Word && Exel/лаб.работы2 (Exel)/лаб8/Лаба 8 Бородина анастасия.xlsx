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069\Desktop\"/>
    </mc:Choice>
  </mc:AlternateContent>
  <xr:revisionPtr revIDLastSave="0" documentId="13_ncr:1_{13E3600E-5350-4085-95B3-BB1E4501D914}" xr6:coauthVersionLast="45" xr6:coauthVersionMax="47" xr10:uidLastSave="{00000000-0000-0000-0000-000000000000}"/>
  <bookViews>
    <workbookView xWindow="-108" yWindow="-108" windowWidth="23256" windowHeight="13176" activeTab="3" xr2:uid="{CC0A917C-EC57-463D-BC8D-845A3DCB591F}"/>
  </bookViews>
  <sheets>
    <sheet name="График функции" sheetId="1" r:id="rId1"/>
    <sheet name="Диаграммы" sheetId="2" r:id="rId2"/>
    <sheet name="График с двумя условиями" sheetId="3" r:id="rId3"/>
    <sheet name="Поверхность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C3" i="4"/>
  <c r="D3" i="4"/>
  <c r="E3" i="4"/>
  <c r="F3" i="4"/>
  <c r="G3" i="4"/>
  <c r="H3" i="4"/>
  <c r="I3" i="4"/>
  <c r="J3" i="4"/>
  <c r="K3" i="4"/>
  <c r="L3" i="4"/>
  <c r="B4" i="4"/>
  <c r="C4" i="4"/>
  <c r="D4" i="4"/>
  <c r="E4" i="4"/>
  <c r="F4" i="4"/>
  <c r="G4" i="4"/>
  <c r="H4" i="4"/>
  <c r="I4" i="4"/>
  <c r="J4" i="4"/>
  <c r="K4" i="4"/>
  <c r="L4" i="4"/>
  <c r="B5" i="4"/>
  <c r="C5" i="4"/>
  <c r="D5" i="4"/>
  <c r="E5" i="4"/>
  <c r="F5" i="4"/>
  <c r="G5" i="4"/>
  <c r="H5" i="4"/>
  <c r="I5" i="4"/>
  <c r="J5" i="4"/>
  <c r="K5" i="4"/>
  <c r="L5" i="4"/>
  <c r="B6" i="4"/>
  <c r="C6" i="4"/>
  <c r="D6" i="4"/>
  <c r="E6" i="4"/>
  <c r="F6" i="4"/>
  <c r="G6" i="4"/>
  <c r="H6" i="4"/>
  <c r="I6" i="4"/>
  <c r="J6" i="4"/>
  <c r="K6" i="4"/>
  <c r="L6" i="4"/>
  <c r="B7" i="4"/>
  <c r="C7" i="4"/>
  <c r="D7" i="4"/>
  <c r="E7" i="4"/>
  <c r="F7" i="4"/>
  <c r="G7" i="4"/>
  <c r="H7" i="4"/>
  <c r="I7" i="4"/>
  <c r="J7" i="4"/>
  <c r="K7" i="4"/>
  <c r="L7" i="4"/>
  <c r="B8" i="4"/>
  <c r="C8" i="4"/>
  <c r="D8" i="4"/>
  <c r="E8" i="4"/>
  <c r="F8" i="4"/>
  <c r="G8" i="4"/>
  <c r="H8" i="4"/>
  <c r="I8" i="4"/>
  <c r="J8" i="4"/>
  <c r="K8" i="4"/>
  <c r="L8" i="4"/>
  <c r="B9" i="4"/>
  <c r="C9" i="4"/>
  <c r="D9" i="4"/>
  <c r="E9" i="4"/>
  <c r="F9" i="4"/>
  <c r="G9" i="4"/>
  <c r="H9" i="4"/>
  <c r="I9" i="4"/>
  <c r="J9" i="4"/>
  <c r="K9" i="4"/>
  <c r="L9" i="4"/>
  <c r="B10" i="4"/>
  <c r="C10" i="4"/>
  <c r="D10" i="4"/>
  <c r="E10" i="4"/>
  <c r="F10" i="4"/>
  <c r="G10" i="4"/>
  <c r="H10" i="4"/>
  <c r="I10" i="4"/>
  <c r="J10" i="4"/>
  <c r="K10" i="4"/>
  <c r="L10" i="4"/>
  <c r="B11" i="4"/>
  <c r="C11" i="4"/>
  <c r="D11" i="4"/>
  <c r="E11" i="4"/>
  <c r="F11" i="4"/>
  <c r="G11" i="4"/>
  <c r="H11" i="4"/>
  <c r="I11" i="4"/>
  <c r="J11" i="4"/>
  <c r="K11" i="4"/>
  <c r="L11" i="4"/>
  <c r="B12" i="4"/>
  <c r="C12" i="4"/>
  <c r="D12" i="4"/>
  <c r="E12" i="4"/>
  <c r="F12" i="4"/>
  <c r="G12" i="4"/>
  <c r="H12" i="4"/>
  <c r="I12" i="4"/>
  <c r="J12" i="4"/>
  <c r="K12" i="4"/>
  <c r="L12" i="4"/>
  <c r="C2" i="4"/>
  <c r="D2" i="4"/>
  <c r="E2" i="4"/>
  <c r="F2" i="4"/>
  <c r="G2" i="4"/>
  <c r="H2" i="4"/>
  <c r="I2" i="4"/>
  <c r="J2" i="4"/>
  <c r="K2" i="4"/>
  <c r="L2" i="4"/>
  <c r="B2" i="4"/>
  <c r="B3" i="3"/>
  <c r="B4" i="3"/>
  <c r="B5" i="3"/>
  <c r="B6" i="3"/>
  <c r="B7" i="3"/>
  <c r="B8" i="3"/>
  <c r="B9" i="3"/>
  <c r="B10" i="3"/>
  <c r="B11" i="3"/>
  <c r="B12" i="3"/>
  <c r="B2" i="3"/>
  <c r="E4" i="2"/>
  <c r="E5" i="2"/>
  <c r="E3" i="2"/>
  <c r="B4" i="1"/>
  <c r="B5" i="1"/>
  <c r="B6" i="1"/>
  <c r="B7" i="1"/>
  <c r="B8" i="1"/>
  <c r="B9" i="1"/>
  <c r="B10" i="1"/>
  <c r="B11" i="1"/>
  <c r="B12" i="1"/>
  <c r="B13" i="1"/>
  <c r="B3" i="1"/>
</calcChain>
</file>

<file path=xl/sharedStrings.xml><?xml version="1.0" encoding="utf-8"?>
<sst xmlns="http://schemas.openxmlformats.org/spreadsheetml/2006/main" count="14" uniqueCount="12">
  <si>
    <t>График функции</t>
  </si>
  <si>
    <t>x</t>
  </si>
  <si>
    <t>y</t>
  </si>
  <si>
    <t>Премиальные выплаты сотрудникам (руб)</t>
  </si>
  <si>
    <t>Фамилия</t>
  </si>
  <si>
    <t>Октябрь</t>
  </si>
  <si>
    <t>Ноябрь</t>
  </si>
  <si>
    <t>Декабрь</t>
  </si>
  <si>
    <t>Итого</t>
  </si>
  <si>
    <t>Иванов</t>
  </si>
  <si>
    <t>Петровский</t>
  </si>
  <si>
    <t>Сидорович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</si>
</sst>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функции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'График функции'!$B$2</c:f>
              <c:strCache>
                <c:ptCount val="1"/>
                <c:pt idx="0">
                  <c:v>y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glow rad="25400">
                <a:schemeClr val="accent1">
                  <a:alpha val="40000"/>
                </a:schemeClr>
              </a:glo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glow rad="25400">
                  <a:schemeClr val="accent1">
                    <a:alpha val="40000"/>
                  </a:schemeClr>
                </a:glow>
              </a:effectLst>
            </c:spPr>
          </c:marker>
          <c:xVal>
            <c:numRef>
              <c:f>'График функции'!$A$3:$A$13</c:f>
              <c:numCache>
                <c:formatCode>General</c:formatCode>
                <c:ptCount val="11"/>
                <c:pt idx="0">
                  <c:v>-0.5</c:v>
                </c:pt>
                <c:pt idx="1">
                  <c:v>-0.4</c:v>
                </c:pt>
                <c:pt idx="2">
                  <c:v>-0.3</c:v>
                </c:pt>
                <c:pt idx="3">
                  <c:v>-0.2</c:v>
                </c:pt>
                <c:pt idx="4">
                  <c:v>-0.1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</c:numCache>
            </c:numRef>
          </c:xVal>
          <c:yVal>
            <c:numRef>
              <c:f>'График функции'!$B$3:$B$13</c:f>
              <c:numCache>
                <c:formatCode>General</c:formatCode>
                <c:ptCount val="11"/>
                <c:pt idx="0">
                  <c:v>0.68440357667298701</c:v>
                </c:pt>
                <c:pt idx="1">
                  <c:v>0.40770612268756912</c:v>
                </c:pt>
                <c:pt idx="2">
                  <c:v>0.20365551969798842</c:v>
                </c:pt>
                <c:pt idx="3">
                  <c:v>7.5738758381288102E-2</c:v>
                </c:pt>
                <c:pt idx="4">
                  <c:v>1.4624050498434835E-2</c:v>
                </c:pt>
                <c:pt idx="5">
                  <c:v>0</c:v>
                </c:pt>
                <c:pt idx="6">
                  <c:v>0.1863767831127259</c:v>
                </c:pt>
                <c:pt idx="7">
                  <c:v>0.33228794386634231</c:v>
                </c:pt>
                <c:pt idx="8">
                  <c:v>0.42354758877932785</c:v>
                </c:pt>
                <c:pt idx="9">
                  <c:v>0.4571517747831948</c:v>
                </c:pt>
                <c:pt idx="10">
                  <c:v>0.4432223885333938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17-4BD2-856C-845248CBF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673808"/>
        <c:axId val="961671312"/>
      </c:scatterChart>
      <c:valAx>
        <c:axId val="96167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b" anchorCtr="0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5742694663167105"/>
              <c:y val="0.67657334499854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0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1671312"/>
        <c:crosses val="autoZero"/>
        <c:crossBetween val="midCat"/>
      </c:valAx>
      <c:valAx>
        <c:axId val="9616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9444444444444446"/>
              <c:y val="0.121611621463983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1673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Диаграммы!$A$3</c:f>
              <c:strCache>
                <c:ptCount val="1"/>
                <c:pt idx="0">
                  <c:v>Иванов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FC-45C0-9987-CFB7FC7910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FC-45C0-9987-CFB7FC7910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FC-45C0-9987-CFB7FC7910E3}"/>
              </c:ext>
            </c:extLst>
          </c:dPt>
          <c:cat>
            <c:strRef>
              <c:f>Диаграммы!$B$2:$D$2</c:f>
              <c:strCache>
                <c:ptCount val="3"/>
                <c:pt idx="0">
                  <c:v>Октябрь</c:v>
                </c:pt>
                <c:pt idx="1">
                  <c:v>Ноябрь</c:v>
                </c:pt>
                <c:pt idx="2">
                  <c:v>Декабрь</c:v>
                </c:pt>
              </c:strCache>
            </c:strRef>
          </c:cat>
          <c:val>
            <c:numRef>
              <c:f>Диаграммы!$B$3:$D$3</c:f>
              <c:numCache>
                <c:formatCode>General</c:formatCode>
                <c:ptCount val="3"/>
                <c:pt idx="0">
                  <c:v>530</c:v>
                </c:pt>
                <c:pt idx="1">
                  <c:v>450</c:v>
                </c:pt>
                <c:pt idx="2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3-491A-AC6A-4701EDA55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Премиальные выплаты сотрудникам (руб)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Диаграммы!$B$2</c:f>
              <c:strCache>
                <c:ptCount val="1"/>
                <c:pt idx="0">
                  <c:v>Октябрь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Диаграммы!$A$3:$A$5</c:f>
              <c:strCache>
                <c:ptCount val="3"/>
                <c:pt idx="0">
                  <c:v>Иванов</c:v>
                </c:pt>
                <c:pt idx="1">
                  <c:v>Петровский</c:v>
                </c:pt>
                <c:pt idx="2">
                  <c:v>Сидорович</c:v>
                </c:pt>
              </c:strCache>
            </c:strRef>
          </c:cat>
          <c:val>
            <c:numRef>
              <c:f>Диаграммы!$B$3:$B$5</c:f>
              <c:numCache>
                <c:formatCode>General</c:formatCode>
                <c:ptCount val="3"/>
                <c:pt idx="0">
                  <c:v>530</c:v>
                </c:pt>
                <c:pt idx="1">
                  <c:v>125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B-4F64-96BC-F4279A61C059}"/>
            </c:ext>
          </c:extLst>
        </c:ser>
        <c:ser>
          <c:idx val="1"/>
          <c:order val="1"/>
          <c:tx>
            <c:strRef>
              <c:f>Диаграммы!$C$2</c:f>
              <c:strCache>
                <c:ptCount val="1"/>
                <c:pt idx="0">
                  <c:v>Ноябрь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Диаграммы!$A$3:$A$5</c:f>
              <c:strCache>
                <c:ptCount val="3"/>
                <c:pt idx="0">
                  <c:v>Иванов</c:v>
                </c:pt>
                <c:pt idx="1">
                  <c:v>Петровский</c:v>
                </c:pt>
                <c:pt idx="2">
                  <c:v>Сидорович</c:v>
                </c:pt>
              </c:strCache>
            </c:strRef>
          </c:cat>
          <c:val>
            <c:numRef>
              <c:f>Диаграммы!$C$3:$C$5</c:f>
              <c:numCache>
                <c:formatCode>General</c:formatCode>
                <c:ptCount val="3"/>
                <c:pt idx="0">
                  <c:v>450</c:v>
                </c:pt>
                <c:pt idx="1">
                  <c:v>456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1B-4F64-96BC-F4279A61C059}"/>
            </c:ext>
          </c:extLst>
        </c:ser>
        <c:ser>
          <c:idx val="2"/>
          <c:order val="2"/>
          <c:tx>
            <c:strRef>
              <c:f>Диаграммы!$D$2</c:f>
              <c:strCache>
                <c:ptCount val="1"/>
                <c:pt idx="0">
                  <c:v>Декабрь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Диаграммы!$A$3:$A$5</c:f>
              <c:strCache>
                <c:ptCount val="3"/>
                <c:pt idx="0">
                  <c:v>Иванов</c:v>
                </c:pt>
                <c:pt idx="1">
                  <c:v>Петровский</c:v>
                </c:pt>
                <c:pt idx="2">
                  <c:v>Сидорович</c:v>
                </c:pt>
              </c:strCache>
            </c:strRef>
          </c:cat>
          <c:val>
            <c:numRef>
              <c:f>Диаграммы!$D$3:$D$5</c:f>
              <c:numCache>
                <c:formatCode>General</c:formatCode>
                <c:ptCount val="3"/>
                <c:pt idx="0">
                  <c:v>578</c:v>
                </c:pt>
                <c:pt idx="1">
                  <c:v>432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1B-4F64-96BC-F4279A61C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2703344"/>
        <c:axId val="1142705840"/>
      </c:barChart>
      <c:catAx>
        <c:axId val="114270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2705840"/>
        <c:crosses val="autoZero"/>
        <c:auto val="1"/>
        <c:lblAlgn val="ctr"/>
        <c:lblOffset val="100"/>
        <c:noMultiLvlLbl val="0"/>
      </c:catAx>
      <c:valAx>
        <c:axId val="114270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270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76399825021872E-2"/>
          <c:y val="8.7962962962962965E-2"/>
          <c:w val="0.89289566929133857"/>
          <c:h val="0.7435032079323418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'График с двумя условиями'!$A$2:$A$12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xVal>
          <c:yVal>
            <c:numRef>
              <c:f>'График с двумя условиями'!$B$2:$B$12</c:f>
              <c:numCache>
                <c:formatCode>General</c:formatCode>
                <c:ptCount val="11"/>
                <c:pt idx="0">
                  <c:v>1.5139110217335856</c:v>
                </c:pt>
                <c:pt idx="1">
                  <c:v>1.3286836488981701</c:v>
                </c:pt>
                <c:pt idx="2">
                  <c:v>1.1837140183500137</c:v>
                </c:pt>
                <c:pt idx="3">
                  <c:v>1.0809039525663613</c:v>
                </c:pt>
                <c:pt idx="4">
                  <c:v>1.0200639671125742</c:v>
                </c:pt>
                <c:pt idx="5">
                  <c:v>1</c:v>
                </c:pt>
                <c:pt idx="6">
                  <c:v>1.5287657410312974</c:v>
                </c:pt>
                <c:pt idx="7">
                  <c:v>1.6713807684878288</c:v>
                </c:pt>
                <c:pt idx="8">
                  <c:v>1.8145574051947893</c:v>
                </c:pt>
                <c:pt idx="9">
                  <c:v>1.9582854515991204</c:v>
                </c:pt>
                <c:pt idx="10">
                  <c:v>2.1025547392470862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'График с двумя условиями'!$B$1</c15:sqref>
                        </c15:formulaRef>
                      </c:ext>
                    </c:extLst>
                    <c:strCache>
                      <c:ptCount val="1"/>
                      <c:pt idx="0">
                        <c:v>y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456-4E72-8211-F85B7D3A7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988896"/>
        <c:axId val="1142992224"/>
      </c:scatterChart>
      <c:valAx>
        <c:axId val="114298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X</a:t>
                </a:r>
                <a:endParaRPr lang="ru-RU" sz="105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96037160979877489"/>
              <c:y val="0.79534703995333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2992224"/>
        <c:crosses val="autoZero"/>
        <c:crossBetween val="midCat"/>
      </c:valAx>
      <c:valAx>
        <c:axId val="114299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ln>
                      <a:noFill/>
                    </a:ln>
                    <a:solidFill>
                      <a:sysClr val="windowText" lastClr="000000"/>
                    </a:solidFill>
                  </a:rPr>
                  <a:t>Y</a:t>
                </a:r>
                <a:endParaRPr lang="ru-RU" sz="1100" b="1">
                  <a:ln>
                    <a:noFill/>
                  </a:ln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9166666666666664"/>
              <c:y val="2.17399387576552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t" anchorCtr="0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298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Поверхностная</a:t>
            </a:r>
            <a:r>
              <a:rPr lang="ru-RU" baseline="0"/>
              <a:t> диаграмма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0"/>
      <c:rotY val="100"/>
      <c:rAngAx val="0"/>
    </c:view3D>
    <c:floor>
      <c:thickness val="0"/>
      <c:spPr>
        <a:noFill/>
        <a:ln w="6350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Поверхность!$A$2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2">
                <a:tint val="42000"/>
              </a:schemeClr>
            </a:solidFill>
            <a:ln/>
            <a:effectLst/>
            <a:sp3d/>
          </c:spPr>
          <c:cat>
            <c:numRef>
              <c:f>Поверхность!$B$1:$L$1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Поверхность!$B$2:$L$2</c:f>
              <c:numCache>
                <c:formatCode>General</c:formatCode>
                <c:ptCount val="11"/>
                <c:pt idx="0">
                  <c:v>1.5838531634528576</c:v>
                </c:pt>
                <c:pt idx="1">
                  <c:v>2.341312305727175</c:v>
                </c:pt>
                <c:pt idx="2">
                  <c:v>2.7704487916116025</c:v>
                </c:pt>
                <c:pt idx="3">
                  <c:v>2.9514730734955466</c:v>
                </c:pt>
                <c:pt idx="4">
                  <c:v>2.9968424397601154</c:v>
                </c:pt>
                <c:pt idx="5">
                  <c:v>3</c:v>
                </c:pt>
                <c:pt idx="6">
                  <c:v>2.9968424397601154</c:v>
                </c:pt>
                <c:pt idx="7">
                  <c:v>2.9514730734955466</c:v>
                </c:pt>
                <c:pt idx="8">
                  <c:v>2.7704487916116025</c:v>
                </c:pt>
                <c:pt idx="9">
                  <c:v>2.341312305727175</c:v>
                </c:pt>
                <c:pt idx="10">
                  <c:v>1.5838531634528576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2-46D8-B86C-20E23298E0FA}"/>
            </c:ext>
          </c:extLst>
        </c:ser>
        <c:ser>
          <c:idx val="1"/>
          <c:order val="1"/>
          <c:tx>
            <c:strRef>
              <c:f>Поверхность!$A$3</c:f>
              <c:strCache>
                <c:ptCount val="1"/>
                <c:pt idx="0">
                  <c:v>-0,8</c:v>
                </c:pt>
              </c:strCache>
            </c:strRef>
          </c:tx>
          <c:spPr>
            <a:solidFill>
              <a:schemeClr val="accent2">
                <a:tint val="54000"/>
              </a:schemeClr>
            </a:solidFill>
            <a:ln/>
            <a:effectLst/>
            <a:sp3d/>
          </c:spPr>
          <c:cat>
            <c:numRef>
              <c:f>Поверхность!$B$1:$L$1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Поверхность!$B$3:$L$3</c:f>
              <c:numCache>
                <c:formatCode>General</c:formatCode>
                <c:ptCount val="11"/>
                <c:pt idx="0">
                  <c:v>0.50385316345285802</c:v>
                </c:pt>
                <c:pt idx="1">
                  <c:v>1.2613123057271753</c:v>
                </c:pt>
                <c:pt idx="2">
                  <c:v>1.6904487916116029</c:v>
                </c:pt>
                <c:pt idx="3">
                  <c:v>1.8714730734955469</c:v>
                </c:pt>
                <c:pt idx="4">
                  <c:v>1.9168424397601158</c:v>
                </c:pt>
                <c:pt idx="5">
                  <c:v>1.9200000000000004</c:v>
                </c:pt>
                <c:pt idx="6">
                  <c:v>1.9168424397601158</c:v>
                </c:pt>
                <c:pt idx="7">
                  <c:v>1.8714730734955469</c:v>
                </c:pt>
                <c:pt idx="8">
                  <c:v>1.6904487916116029</c:v>
                </c:pt>
                <c:pt idx="9">
                  <c:v>1.2613123057271753</c:v>
                </c:pt>
                <c:pt idx="10">
                  <c:v>0.50385316345285802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62-46D8-B86C-20E23298E0FA}"/>
            </c:ext>
          </c:extLst>
        </c:ser>
        <c:ser>
          <c:idx val="2"/>
          <c:order val="2"/>
          <c:tx>
            <c:strRef>
              <c:f>Поверхность!$A$4</c:f>
              <c:strCache>
                <c:ptCount val="1"/>
                <c:pt idx="0">
                  <c:v>-0,6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/>
            <a:effectLst/>
            <a:sp3d/>
          </c:spPr>
          <c:cat>
            <c:numRef>
              <c:f>Поверхность!$B$1:$L$1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Поверхность!$B$4:$L$4</c:f>
              <c:numCache>
                <c:formatCode>General</c:formatCode>
                <c:ptCount val="11"/>
                <c:pt idx="0">
                  <c:v>-0.33614683654714228</c:v>
                </c:pt>
                <c:pt idx="1">
                  <c:v>0.42131230572717504</c:v>
                </c:pt>
                <c:pt idx="2">
                  <c:v>0.85044879161160258</c:v>
                </c:pt>
                <c:pt idx="3">
                  <c:v>1.0314730734955466</c:v>
                </c:pt>
                <c:pt idx="4">
                  <c:v>1.0768424397601155</c:v>
                </c:pt>
                <c:pt idx="5">
                  <c:v>1.08</c:v>
                </c:pt>
                <c:pt idx="6">
                  <c:v>1.0768424397601155</c:v>
                </c:pt>
                <c:pt idx="7">
                  <c:v>1.0314730734955466</c:v>
                </c:pt>
                <c:pt idx="8">
                  <c:v>0.85044879161160258</c:v>
                </c:pt>
                <c:pt idx="9">
                  <c:v>0.42131230572717504</c:v>
                </c:pt>
                <c:pt idx="10">
                  <c:v>-0.33614683654714228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62-46D8-B86C-20E23298E0FA}"/>
            </c:ext>
          </c:extLst>
        </c:ser>
        <c:ser>
          <c:idx val="3"/>
          <c:order val="3"/>
          <c:tx>
            <c:strRef>
              <c:f>Поверхность!$A$5</c:f>
              <c:strCache>
                <c:ptCount val="1"/>
                <c:pt idx="0">
                  <c:v>-0,4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/>
            <a:effectLst/>
            <a:sp3d/>
          </c:spPr>
          <c:cat>
            <c:numRef>
              <c:f>Поверхность!$B$1:$L$1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Поверхность!$B$5:$L$5</c:f>
              <c:numCache>
                <c:formatCode>General</c:formatCode>
                <c:ptCount val="11"/>
                <c:pt idx="0">
                  <c:v>-0.93614683654714226</c:v>
                </c:pt>
                <c:pt idx="1">
                  <c:v>-0.17868769427282494</c:v>
                </c:pt>
                <c:pt idx="2">
                  <c:v>0.25044879161160261</c:v>
                </c:pt>
                <c:pt idx="3">
                  <c:v>0.43147307349554653</c:v>
                </c:pt>
                <c:pt idx="4">
                  <c:v>0.47684243976011548</c:v>
                </c:pt>
                <c:pt idx="5">
                  <c:v>0.48000000000000009</c:v>
                </c:pt>
                <c:pt idx="6">
                  <c:v>0.47684243976011548</c:v>
                </c:pt>
                <c:pt idx="7">
                  <c:v>0.43147307349554653</c:v>
                </c:pt>
                <c:pt idx="8">
                  <c:v>0.25044879161160261</c:v>
                </c:pt>
                <c:pt idx="9">
                  <c:v>-0.17868769427282494</c:v>
                </c:pt>
                <c:pt idx="10">
                  <c:v>-0.93614683654714226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62-46D8-B86C-20E23298E0FA}"/>
            </c:ext>
          </c:extLst>
        </c:ser>
        <c:ser>
          <c:idx val="4"/>
          <c:order val="4"/>
          <c:tx>
            <c:strRef>
              <c:f>Поверхность!$A$6</c:f>
              <c:strCache>
                <c:ptCount val="1"/>
                <c:pt idx="0">
                  <c:v>-0,2</c:v>
                </c:pt>
              </c:strCache>
            </c:strRef>
          </c:tx>
          <c:spPr>
            <a:solidFill>
              <a:schemeClr val="accent2">
                <a:tint val="89000"/>
              </a:schemeClr>
            </a:solidFill>
            <a:ln/>
            <a:effectLst/>
            <a:sp3d/>
          </c:spPr>
          <c:cat>
            <c:numRef>
              <c:f>Поверхность!$B$1:$L$1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Поверхность!$B$6:$L$6</c:f>
              <c:numCache>
                <c:formatCode>General</c:formatCode>
                <c:ptCount val="11"/>
                <c:pt idx="0">
                  <c:v>-1.2961468365471422</c:v>
                </c:pt>
                <c:pt idx="1">
                  <c:v>-0.53868769427282504</c:v>
                </c:pt>
                <c:pt idx="2">
                  <c:v>-0.10955120838839749</c:v>
                </c:pt>
                <c:pt idx="3">
                  <c:v>7.1473073495546477E-2</c:v>
                </c:pt>
                <c:pt idx="4">
                  <c:v>0.11684243976011542</c:v>
                </c:pt>
                <c:pt idx="5">
                  <c:v>0.12000000000000002</c:v>
                </c:pt>
                <c:pt idx="6">
                  <c:v>0.11684243976011542</c:v>
                </c:pt>
                <c:pt idx="7">
                  <c:v>7.1473073495546477E-2</c:v>
                </c:pt>
                <c:pt idx="8">
                  <c:v>-0.10955120838839749</c:v>
                </c:pt>
                <c:pt idx="9">
                  <c:v>-0.53868769427282504</c:v>
                </c:pt>
                <c:pt idx="10">
                  <c:v>-1.2961468365471422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62-46D8-B86C-20E23298E0FA}"/>
            </c:ext>
          </c:extLst>
        </c:ser>
        <c:ser>
          <c:idx val="5"/>
          <c:order val="5"/>
          <c:tx>
            <c:strRef>
              <c:f>Поверхность!$A$7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Поверхность!$B$1:$L$1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Поверхность!$B$7:$L$7</c:f>
              <c:numCache>
                <c:formatCode>General</c:formatCode>
                <c:ptCount val="11"/>
                <c:pt idx="0">
                  <c:v>-1.4161468365471424</c:v>
                </c:pt>
                <c:pt idx="1">
                  <c:v>-0.65868769427282503</c:v>
                </c:pt>
                <c:pt idx="2">
                  <c:v>-0.22955120838839752</c:v>
                </c:pt>
                <c:pt idx="3">
                  <c:v>-4.8526926504453546E-2</c:v>
                </c:pt>
                <c:pt idx="4">
                  <c:v>-3.1575602398845972E-3</c:v>
                </c:pt>
                <c:pt idx="5">
                  <c:v>0</c:v>
                </c:pt>
                <c:pt idx="6">
                  <c:v>-3.1575602398845972E-3</c:v>
                </c:pt>
                <c:pt idx="7">
                  <c:v>-4.8526926504453546E-2</c:v>
                </c:pt>
                <c:pt idx="8">
                  <c:v>-0.22955120838839752</c:v>
                </c:pt>
                <c:pt idx="9">
                  <c:v>-0.65868769427282503</c:v>
                </c:pt>
                <c:pt idx="10">
                  <c:v>-1.4161468365471424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62-46D8-B86C-20E23298E0FA}"/>
            </c:ext>
          </c:extLst>
        </c:ser>
        <c:ser>
          <c:idx val="6"/>
          <c:order val="6"/>
          <c:tx>
            <c:strRef>
              <c:f>Поверхность!$A$8</c:f>
              <c:strCache>
                <c:ptCount val="1"/>
                <c:pt idx="0">
                  <c:v>0,2</c:v>
                </c:pt>
              </c:strCache>
            </c:strRef>
          </c:tx>
          <c:spPr>
            <a:solidFill>
              <a:schemeClr val="accent2">
                <a:shade val="88000"/>
              </a:schemeClr>
            </a:solidFill>
            <a:ln/>
            <a:effectLst/>
            <a:sp3d/>
          </c:spPr>
          <c:cat>
            <c:numRef>
              <c:f>Поверхность!$B$1:$L$1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Поверхность!$B$8:$L$8</c:f>
              <c:numCache>
                <c:formatCode>General</c:formatCode>
                <c:ptCount val="11"/>
                <c:pt idx="0">
                  <c:v>-1.2961468365471422</c:v>
                </c:pt>
                <c:pt idx="1">
                  <c:v>-0.53868769427282504</c:v>
                </c:pt>
                <c:pt idx="2">
                  <c:v>-0.10955120838839749</c:v>
                </c:pt>
                <c:pt idx="3">
                  <c:v>7.1473073495546477E-2</c:v>
                </c:pt>
                <c:pt idx="4">
                  <c:v>0.11684243976011542</c:v>
                </c:pt>
                <c:pt idx="5">
                  <c:v>0.12000000000000002</c:v>
                </c:pt>
                <c:pt idx="6">
                  <c:v>0.11684243976011542</c:v>
                </c:pt>
                <c:pt idx="7">
                  <c:v>7.1473073495546477E-2</c:v>
                </c:pt>
                <c:pt idx="8">
                  <c:v>-0.10955120838839749</c:v>
                </c:pt>
                <c:pt idx="9">
                  <c:v>-0.53868769427282504</c:v>
                </c:pt>
                <c:pt idx="10">
                  <c:v>-1.2961468365471422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62-46D8-B86C-20E23298E0FA}"/>
            </c:ext>
          </c:extLst>
        </c:ser>
        <c:ser>
          <c:idx val="7"/>
          <c:order val="7"/>
          <c:tx>
            <c:strRef>
              <c:f>Поверхность!$A$9</c:f>
              <c:strCache>
                <c:ptCount val="1"/>
                <c:pt idx="0">
                  <c:v>0,4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/>
            <a:effectLst/>
            <a:sp3d/>
          </c:spPr>
          <c:cat>
            <c:numRef>
              <c:f>Поверхность!$B$1:$L$1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Поверхность!$B$9:$L$9</c:f>
              <c:numCache>
                <c:formatCode>General</c:formatCode>
                <c:ptCount val="11"/>
                <c:pt idx="0">
                  <c:v>-0.93614683654714226</c:v>
                </c:pt>
                <c:pt idx="1">
                  <c:v>-0.17868769427282494</c:v>
                </c:pt>
                <c:pt idx="2">
                  <c:v>0.25044879161160261</c:v>
                </c:pt>
                <c:pt idx="3">
                  <c:v>0.43147307349554653</c:v>
                </c:pt>
                <c:pt idx="4">
                  <c:v>0.47684243976011548</c:v>
                </c:pt>
                <c:pt idx="5">
                  <c:v>0.48000000000000009</c:v>
                </c:pt>
                <c:pt idx="6">
                  <c:v>0.47684243976011548</c:v>
                </c:pt>
                <c:pt idx="7">
                  <c:v>0.43147307349554653</c:v>
                </c:pt>
                <c:pt idx="8">
                  <c:v>0.25044879161160261</c:v>
                </c:pt>
                <c:pt idx="9">
                  <c:v>-0.17868769427282494</c:v>
                </c:pt>
                <c:pt idx="10">
                  <c:v>-0.93614683654714226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62-46D8-B86C-20E23298E0FA}"/>
            </c:ext>
          </c:extLst>
        </c:ser>
        <c:ser>
          <c:idx val="8"/>
          <c:order val="8"/>
          <c:tx>
            <c:strRef>
              <c:f>Поверхность!$A$10</c:f>
              <c:strCache>
                <c:ptCount val="1"/>
                <c:pt idx="0">
                  <c:v>0,6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/>
            <a:effectLst/>
            <a:sp3d/>
          </c:spPr>
          <c:cat>
            <c:numRef>
              <c:f>Поверхность!$B$1:$L$1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Поверхность!$B$10:$L$10</c:f>
              <c:numCache>
                <c:formatCode>General</c:formatCode>
                <c:ptCount val="11"/>
                <c:pt idx="0">
                  <c:v>-0.33614683654714228</c:v>
                </c:pt>
                <c:pt idx="1">
                  <c:v>0.42131230572717504</c:v>
                </c:pt>
                <c:pt idx="2">
                  <c:v>0.85044879161160258</c:v>
                </c:pt>
                <c:pt idx="3">
                  <c:v>1.0314730734955466</c:v>
                </c:pt>
                <c:pt idx="4">
                  <c:v>1.0768424397601155</c:v>
                </c:pt>
                <c:pt idx="5">
                  <c:v>1.08</c:v>
                </c:pt>
                <c:pt idx="6">
                  <c:v>1.0768424397601155</c:v>
                </c:pt>
                <c:pt idx="7">
                  <c:v>1.0314730734955466</c:v>
                </c:pt>
                <c:pt idx="8">
                  <c:v>0.85044879161160258</c:v>
                </c:pt>
                <c:pt idx="9">
                  <c:v>0.42131230572717504</c:v>
                </c:pt>
                <c:pt idx="10">
                  <c:v>-0.33614683654714228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62-46D8-B86C-20E23298E0FA}"/>
            </c:ext>
          </c:extLst>
        </c:ser>
        <c:ser>
          <c:idx val="9"/>
          <c:order val="9"/>
          <c:tx>
            <c:strRef>
              <c:f>Поверхность!$A$11</c:f>
              <c:strCache>
                <c:ptCount val="1"/>
                <c:pt idx="0">
                  <c:v>0,8</c:v>
                </c:pt>
              </c:strCache>
            </c:strRef>
          </c:tx>
          <c:spPr>
            <a:solidFill>
              <a:schemeClr val="accent2">
                <a:shade val="53000"/>
              </a:schemeClr>
            </a:solidFill>
            <a:ln/>
            <a:effectLst/>
            <a:sp3d/>
          </c:spPr>
          <c:cat>
            <c:numRef>
              <c:f>Поверхность!$B$1:$L$1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Поверхность!$B$11:$L$11</c:f>
              <c:numCache>
                <c:formatCode>General</c:formatCode>
                <c:ptCount val="11"/>
                <c:pt idx="0">
                  <c:v>0.50385316345285802</c:v>
                </c:pt>
                <c:pt idx="1">
                  <c:v>1.2613123057271753</c:v>
                </c:pt>
                <c:pt idx="2">
                  <c:v>1.6904487916116029</c:v>
                </c:pt>
                <c:pt idx="3">
                  <c:v>1.8714730734955469</c:v>
                </c:pt>
                <c:pt idx="4">
                  <c:v>1.9168424397601158</c:v>
                </c:pt>
                <c:pt idx="5">
                  <c:v>1.9200000000000004</c:v>
                </c:pt>
                <c:pt idx="6">
                  <c:v>1.9168424397601158</c:v>
                </c:pt>
                <c:pt idx="7">
                  <c:v>1.8714730734955469</c:v>
                </c:pt>
                <c:pt idx="8">
                  <c:v>1.6904487916116029</c:v>
                </c:pt>
                <c:pt idx="9">
                  <c:v>1.2613123057271753</c:v>
                </c:pt>
                <c:pt idx="10">
                  <c:v>0.50385316345285802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62-46D8-B86C-20E23298E0FA}"/>
            </c:ext>
          </c:extLst>
        </c:ser>
        <c:ser>
          <c:idx val="10"/>
          <c:order val="10"/>
          <c:tx>
            <c:strRef>
              <c:f>Поверхность!$A$12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>
                <a:shade val="41000"/>
              </a:schemeClr>
            </a:solidFill>
            <a:ln/>
            <a:effectLst/>
            <a:sp3d/>
          </c:spPr>
          <c:cat>
            <c:numRef>
              <c:f>Поверхность!$B$1:$L$1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</c:numCache>
            </c:numRef>
          </c:cat>
          <c:val>
            <c:numRef>
              <c:f>Поверхность!$B$12:$L$12</c:f>
              <c:numCache>
                <c:formatCode>General</c:formatCode>
                <c:ptCount val="11"/>
                <c:pt idx="0">
                  <c:v>1.5838531634528576</c:v>
                </c:pt>
                <c:pt idx="1">
                  <c:v>2.341312305727175</c:v>
                </c:pt>
                <c:pt idx="2">
                  <c:v>2.7704487916116025</c:v>
                </c:pt>
                <c:pt idx="3">
                  <c:v>2.9514730734955466</c:v>
                </c:pt>
                <c:pt idx="4">
                  <c:v>2.9968424397601154</c:v>
                </c:pt>
                <c:pt idx="5">
                  <c:v>3</c:v>
                </c:pt>
                <c:pt idx="6">
                  <c:v>2.9968424397601154</c:v>
                </c:pt>
                <c:pt idx="7">
                  <c:v>2.9514730734955466</c:v>
                </c:pt>
                <c:pt idx="8">
                  <c:v>2.7704487916116025</c:v>
                </c:pt>
                <c:pt idx="9">
                  <c:v>2.341312305727175</c:v>
                </c:pt>
                <c:pt idx="10">
                  <c:v>1.5838531634528576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62-46D8-B86C-20E23298E0FA}"/>
            </c:ext>
          </c:extLst>
        </c:ser>
        <c:bandFmts>
          <c:bandFmt>
            <c:idx val="0"/>
            <c:spPr>
              <a:solidFill>
                <a:schemeClr val="accent2">
                  <a:tint val="58000"/>
                </a:schemeClr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>
                  <a:tint val="86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2">
                  <a:shade val="86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2">
                  <a:shade val="58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2">
                  <a:shade val="58000"/>
                </a:schemeClr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2">
                  <a:shade val="58000"/>
                </a:schemeClr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2">
                  <a:shade val="58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shade val="58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2">
                  <a:shade val="58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2">
                  <a:shade val="58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2">
                  <a:shade val="58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2">
                  <a:shade val="58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2">
                  <a:shade val="58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shade val="58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2">
                  <a:shade val="58000"/>
                </a:schemeClr>
              </a:solidFill>
              <a:ln/>
              <a:effectLst/>
              <a:sp3d/>
            </c:spPr>
          </c:bandFmt>
        </c:bandFmts>
        <c:axId val="1142472112"/>
        <c:axId val="1142470448"/>
        <c:axId val="1139345536"/>
      </c:surface3DChart>
      <c:catAx>
        <c:axId val="114247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X</a:t>
                </a:r>
                <a:endParaRPr lang="ru-RU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0912335958005253"/>
              <c:y val="0.734838145231845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2470448"/>
        <c:crosses val="autoZero"/>
        <c:auto val="1"/>
        <c:lblAlgn val="ctr"/>
        <c:lblOffset val="100"/>
        <c:noMultiLvlLbl val="0"/>
      </c:catAx>
      <c:valAx>
        <c:axId val="11424704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Z</a:t>
                </a:r>
                <a:endParaRPr lang="ru-RU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11280599300087488"/>
              <c:y val="0.435934310294546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2472112"/>
        <c:crosses val="autoZero"/>
        <c:crossBetween val="midCat"/>
      </c:valAx>
      <c:serAx>
        <c:axId val="1139345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Y</a:t>
                </a:r>
                <a:endParaRPr lang="ru-RU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83049321959755029"/>
              <c:y val="0.537318824730241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247044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/>
      </a:solidFill>
      <a:prstDash val="solid"/>
      <a:round/>
    </a:ln>
    <a:effectLst>
      <a:outerShdw blurRad="50800" dist="12700" dir="540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7</xdr:col>
      <xdr:colOff>304800</xdr:colOff>
      <xdr:row>27</xdr:row>
      <xdr:rowOff>178118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6AE076A-844B-4CEF-9D5D-F20A1C0E2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</xdr:colOff>
      <xdr:row>5</xdr:row>
      <xdr:rowOff>178117</xdr:rowOff>
    </xdr:from>
    <xdr:to>
      <xdr:col>15</xdr:col>
      <xdr:colOff>315277</xdr:colOff>
      <xdr:row>20</xdr:row>
      <xdr:rowOff>63817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F80D9FF-191E-4E93-A181-661039F89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</xdr:row>
      <xdr:rowOff>4762</xdr:rowOff>
    </xdr:from>
    <xdr:to>
      <xdr:col>6</xdr:col>
      <xdr:colOff>514350</xdr:colOff>
      <xdr:row>20</xdr:row>
      <xdr:rowOff>80962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C7ED455D-EBD5-4EB6-A1DC-3EEBC9AAE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2857</xdr:rowOff>
    </xdr:from>
    <xdr:to>
      <xdr:col>7</xdr:col>
      <xdr:colOff>304800</xdr:colOff>
      <xdr:row>27</xdr:row>
      <xdr:rowOff>71437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A0823D7-D3B2-4311-B746-5380CA239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4762</xdr:rowOff>
    </xdr:from>
    <xdr:to>
      <xdr:col>7</xdr:col>
      <xdr:colOff>304800</xdr:colOff>
      <xdr:row>27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6D4369F-A3A7-47ED-9484-CF7E0C5CE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94A1-1E1F-4A63-B48E-108D08CE243F}">
  <dimension ref="A1:B13"/>
  <sheetViews>
    <sheetView workbookViewId="0">
      <selection activeCell="J8" sqref="J8"/>
    </sheetView>
  </sheetViews>
  <sheetFormatPr defaultRowHeight="14.4" x14ac:dyDescent="0.3"/>
  <sheetData>
    <row r="1" spans="1:2" x14ac:dyDescent="0.3">
      <c r="A1" s="3" t="s">
        <v>0</v>
      </c>
      <c r="B1" s="3"/>
    </row>
    <row r="2" spans="1:2" x14ac:dyDescent="0.3">
      <c r="A2" t="s">
        <v>1</v>
      </c>
      <c r="B2" t="s">
        <v>2</v>
      </c>
    </row>
    <row r="3" spans="1:2" x14ac:dyDescent="0.3">
      <c r="A3">
        <v>-0.5</v>
      </c>
      <c r="B3">
        <f>COS(2*A3)^2*SIN(A3)+EXP(-A3)*ABS(A3)</f>
        <v>0.68440357667298701</v>
      </c>
    </row>
    <row r="4" spans="1:2" x14ac:dyDescent="0.3">
      <c r="A4">
        <v>-0.4</v>
      </c>
      <c r="B4">
        <f t="shared" ref="B4:B13" si="0">COS(2*A4)^2*SIN(A4)+EXP(-A4)*ABS(A4)</f>
        <v>0.40770612268756912</v>
      </c>
    </row>
    <row r="5" spans="1:2" x14ac:dyDescent="0.3">
      <c r="A5">
        <v>-0.3</v>
      </c>
      <c r="B5">
        <f t="shared" si="0"/>
        <v>0.20365551969798842</v>
      </c>
    </row>
    <row r="6" spans="1:2" x14ac:dyDescent="0.3">
      <c r="A6">
        <v>-0.2</v>
      </c>
      <c r="B6">
        <f t="shared" si="0"/>
        <v>7.5738758381288102E-2</v>
      </c>
    </row>
    <row r="7" spans="1:2" x14ac:dyDescent="0.3">
      <c r="A7">
        <v>-0.1</v>
      </c>
      <c r="B7">
        <f t="shared" si="0"/>
        <v>1.4624050498434835E-2</v>
      </c>
    </row>
    <row r="8" spans="1:2" x14ac:dyDescent="0.3">
      <c r="A8">
        <v>0</v>
      </c>
      <c r="B8">
        <f t="shared" si="0"/>
        <v>0</v>
      </c>
    </row>
    <row r="9" spans="1:2" x14ac:dyDescent="0.3">
      <c r="A9">
        <v>0.1</v>
      </c>
      <c r="B9">
        <f t="shared" si="0"/>
        <v>0.1863767831127259</v>
      </c>
    </row>
    <row r="10" spans="1:2" x14ac:dyDescent="0.3">
      <c r="A10">
        <v>0.2</v>
      </c>
      <c r="B10">
        <f t="shared" si="0"/>
        <v>0.33228794386634231</v>
      </c>
    </row>
    <row r="11" spans="1:2" x14ac:dyDescent="0.3">
      <c r="A11">
        <v>0.3</v>
      </c>
      <c r="B11">
        <f t="shared" si="0"/>
        <v>0.42354758877932785</v>
      </c>
    </row>
    <row r="12" spans="1:2" x14ac:dyDescent="0.3">
      <c r="A12">
        <v>0.4</v>
      </c>
      <c r="B12">
        <f t="shared" si="0"/>
        <v>0.4571517747831948</v>
      </c>
    </row>
    <row r="13" spans="1:2" x14ac:dyDescent="0.3">
      <c r="A13">
        <v>0.5</v>
      </c>
      <c r="B13">
        <f t="shared" si="0"/>
        <v>0.4432223885333938</v>
      </c>
    </row>
  </sheetData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32DB-9BF4-41D9-B656-5D94749598B1}">
  <dimension ref="A1:E5"/>
  <sheetViews>
    <sheetView workbookViewId="0">
      <selection activeCell="N28" sqref="N28"/>
    </sheetView>
  </sheetViews>
  <sheetFormatPr defaultRowHeight="14.4" x14ac:dyDescent="0.3"/>
  <cols>
    <col min="1" max="1" width="12.5546875" customWidth="1"/>
    <col min="2" max="2" width="9.88671875" customWidth="1"/>
    <col min="3" max="3" width="11" customWidth="1"/>
  </cols>
  <sheetData>
    <row r="1" spans="1:5" x14ac:dyDescent="0.3">
      <c r="A1" s="4" t="s">
        <v>3</v>
      </c>
      <c r="B1" s="4"/>
      <c r="C1" s="4"/>
      <c r="D1" s="4"/>
      <c r="E1" s="4"/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1" t="s">
        <v>9</v>
      </c>
      <c r="B3" s="1">
        <v>530</v>
      </c>
      <c r="C3" s="1">
        <v>450</v>
      </c>
      <c r="D3" s="1">
        <v>578</v>
      </c>
      <c r="E3" s="1">
        <f>SUM(B3:D3)</f>
        <v>1558</v>
      </c>
    </row>
    <row r="4" spans="1:5" x14ac:dyDescent="0.3">
      <c r="A4" s="1" t="s">
        <v>10</v>
      </c>
      <c r="B4" s="1">
        <v>125</v>
      </c>
      <c r="C4" s="1">
        <v>456</v>
      </c>
      <c r="D4" s="1">
        <v>432</v>
      </c>
      <c r="E4" s="1">
        <f t="shared" ref="E4:E5" si="0">SUM(B4:D4)</f>
        <v>1013</v>
      </c>
    </row>
    <row r="5" spans="1:5" x14ac:dyDescent="0.3">
      <c r="A5" s="1" t="s">
        <v>11</v>
      </c>
      <c r="B5" s="1">
        <v>60</v>
      </c>
      <c r="C5" s="1">
        <v>21</v>
      </c>
      <c r="D5" s="1">
        <v>47</v>
      </c>
      <c r="E5" s="1">
        <f t="shared" si="0"/>
        <v>128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DBE0-1BBD-4142-BB7B-250949E93B21}">
  <dimension ref="A1:B12"/>
  <sheetViews>
    <sheetView workbookViewId="0">
      <selection activeCell="E30" sqref="E30"/>
    </sheetView>
  </sheetViews>
  <sheetFormatPr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>
        <v>-1</v>
      </c>
      <c r="B2">
        <f>IF(A2&lt;=0, (1+2*A2^2-SIN(A2)^2)^(1/2), (2+A2)/(2+EXP(-0.1*A2))^(1/3))</f>
        <v>1.5139110217335856</v>
      </c>
    </row>
    <row r="3" spans="1:2" x14ac:dyDescent="0.3">
      <c r="A3">
        <v>-0.8</v>
      </c>
      <c r="B3">
        <f t="shared" ref="B3:B12" si="0">IF(A3&lt;=0, (1+2*A3^2-SIN(A3)^2)^(1/2), (2+A3)/(2+EXP(-0.1*A3))^(1/3))</f>
        <v>1.3286836488981701</v>
      </c>
    </row>
    <row r="4" spans="1:2" x14ac:dyDescent="0.3">
      <c r="A4">
        <v>-0.6</v>
      </c>
      <c r="B4">
        <f t="shared" si="0"/>
        <v>1.1837140183500137</v>
      </c>
    </row>
    <row r="5" spans="1:2" x14ac:dyDescent="0.3">
      <c r="A5">
        <v>-0.4</v>
      </c>
      <c r="B5">
        <f t="shared" si="0"/>
        <v>1.0809039525663613</v>
      </c>
    </row>
    <row r="6" spans="1:2" x14ac:dyDescent="0.3">
      <c r="A6">
        <v>-0.2</v>
      </c>
      <c r="B6">
        <f t="shared" si="0"/>
        <v>1.0200639671125742</v>
      </c>
    </row>
    <row r="7" spans="1:2" x14ac:dyDescent="0.3">
      <c r="A7">
        <v>0</v>
      </c>
      <c r="B7">
        <f t="shared" si="0"/>
        <v>1</v>
      </c>
    </row>
    <row r="8" spans="1:2" x14ac:dyDescent="0.3">
      <c r="A8">
        <v>0.2</v>
      </c>
      <c r="B8">
        <f t="shared" si="0"/>
        <v>1.5287657410312974</v>
      </c>
    </row>
    <row r="9" spans="1:2" x14ac:dyDescent="0.3">
      <c r="A9">
        <v>0.4</v>
      </c>
      <c r="B9">
        <f t="shared" si="0"/>
        <v>1.6713807684878288</v>
      </c>
    </row>
    <row r="10" spans="1:2" x14ac:dyDescent="0.3">
      <c r="A10">
        <v>0.6</v>
      </c>
      <c r="B10">
        <f t="shared" si="0"/>
        <v>1.8145574051947893</v>
      </c>
    </row>
    <row r="11" spans="1:2" x14ac:dyDescent="0.3">
      <c r="A11">
        <v>0.8</v>
      </c>
      <c r="B11">
        <f t="shared" si="0"/>
        <v>1.9582854515991204</v>
      </c>
    </row>
    <row r="12" spans="1:2" x14ac:dyDescent="0.3">
      <c r="A12">
        <v>1</v>
      </c>
      <c r="B12">
        <f t="shared" si="0"/>
        <v>2.1025547392470862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4C74-1AF1-4E9E-8762-F7E1B93B7F4E}">
  <dimension ref="A1:L12"/>
  <sheetViews>
    <sheetView tabSelected="1" workbookViewId="0">
      <selection activeCell="G30" sqref="G30"/>
    </sheetView>
  </sheetViews>
  <sheetFormatPr defaultRowHeight="14.4" x14ac:dyDescent="0.3"/>
  <sheetData>
    <row r="1" spans="1:12" x14ac:dyDescent="0.3">
      <c r="B1">
        <v>-1</v>
      </c>
      <c r="C1">
        <v>-0.8</v>
      </c>
      <c r="D1">
        <v>-0.6</v>
      </c>
      <c r="E1">
        <v>-0.4</v>
      </c>
      <c r="F1">
        <v>-0.2</v>
      </c>
      <c r="G1">
        <v>0</v>
      </c>
      <c r="H1">
        <v>0.2</v>
      </c>
      <c r="I1">
        <v>0.4</v>
      </c>
      <c r="J1">
        <v>0.6</v>
      </c>
      <c r="K1">
        <v>0.8</v>
      </c>
      <c r="L1">
        <v>1</v>
      </c>
    </row>
    <row r="2" spans="1:12" x14ac:dyDescent="0.3">
      <c r="A2">
        <v>-1</v>
      </c>
      <c r="B2">
        <f>3*$A2^2-2*SIN(B$1)^2*B$1^2</f>
        <v>1.5838531634528576</v>
      </c>
      <c r="C2">
        <f t="shared" ref="C2:L12" si="0">3*$A2^2-2*SIN(C$1)^2*C$1^2</f>
        <v>2.341312305727175</v>
      </c>
      <c r="D2">
        <f t="shared" si="0"/>
        <v>2.7704487916116025</v>
      </c>
      <c r="E2">
        <f t="shared" si="0"/>
        <v>2.9514730734955466</v>
      </c>
      <c r="F2">
        <f t="shared" si="0"/>
        <v>2.9968424397601154</v>
      </c>
      <c r="G2">
        <f t="shared" si="0"/>
        <v>3</v>
      </c>
      <c r="H2">
        <f t="shared" si="0"/>
        <v>2.9968424397601154</v>
      </c>
      <c r="I2">
        <f t="shared" si="0"/>
        <v>2.9514730734955466</v>
      </c>
      <c r="J2">
        <f t="shared" si="0"/>
        <v>2.7704487916116025</v>
      </c>
      <c r="K2">
        <f t="shared" si="0"/>
        <v>2.341312305727175</v>
      </c>
      <c r="L2">
        <f t="shared" si="0"/>
        <v>1.5838531634528576</v>
      </c>
    </row>
    <row r="3" spans="1:12" x14ac:dyDescent="0.3">
      <c r="A3">
        <v>-0.8</v>
      </c>
      <c r="B3">
        <f t="shared" ref="B3:B12" si="1">3*$A3^2-2*SIN(B$1)^2*B$1^2</f>
        <v>0.50385316345285802</v>
      </c>
      <c r="C3">
        <f t="shared" si="0"/>
        <v>1.2613123057271753</v>
      </c>
      <c r="D3">
        <f t="shared" si="0"/>
        <v>1.6904487916116029</v>
      </c>
      <c r="E3">
        <f t="shared" si="0"/>
        <v>1.8714730734955469</v>
      </c>
      <c r="F3">
        <f t="shared" si="0"/>
        <v>1.9168424397601158</v>
      </c>
      <c r="G3">
        <f t="shared" si="0"/>
        <v>1.9200000000000004</v>
      </c>
      <c r="H3">
        <f t="shared" si="0"/>
        <v>1.9168424397601158</v>
      </c>
      <c r="I3">
        <f t="shared" si="0"/>
        <v>1.8714730734955469</v>
      </c>
      <c r="J3">
        <f t="shared" si="0"/>
        <v>1.6904487916116029</v>
      </c>
      <c r="K3">
        <f t="shared" si="0"/>
        <v>1.2613123057271753</v>
      </c>
      <c r="L3">
        <f t="shared" si="0"/>
        <v>0.50385316345285802</v>
      </c>
    </row>
    <row r="4" spans="1:12" x14ac:dyDescent="0.3">
      <c r="A4">
        <v>-0.6</v>
      </c>
      <c r="B4">
        <f t="shared" si="1"/>
        <v>-0.33614683654714228</v>
      </c>
      <c r="C4">
        <f t="shared" si="0"/>
        <v>0.42131230572717504</v>
      </c>
      <c r="D4">
        <f t="shared" si="0"/>
        <v>0.85044879161160258</v>
      </c>
      <c r="E4">
        <f t="shared" si="0"/>
        <v>1.0314730734955466</v>
      </c>
      <c r="F4">
        <f t="shared" si="0"/>
        <v>1.0768424397601155</v>
      </c>
      <c r="G4">
        <f t="shared" si="0"/>
        <v>1.08</v>
      </c>
      <c r="H4">
        <f t="shared" si="0"/>
        <v>1.0768424397601155</v>
      </c>
      <c r="I4">
        <f t="shared" si="0"/>
        <v>1.0314730734955466</v>
      </c>
      <c r="J4">
        <f t="shared" si="0"/>
        <v>0.85044879161160258</v>
      </c>
      <c r="K4">
        <f t="shared" si="0"/>
        <v>0.42131230572717504</v>
      </c>
      <c r="L4">
        <f t="shared" si="0"/>
        <v>-0.33614683654714228</v>
      </c>
    </row>
    <row r="5" spans="1:12" x14ac:dyDescent="0.3">
      <c r="A5">
        <v>-0.4</v>
      </c>
      <c r="B5">
        <f t="shared" si="1"/>
        <v>-0.93614683654714226</v>
      </c>
      <c r="C5">
        <f t="shared" si="0"/>
        <v>-0.17868769427282494</v>
      </c>
      <c r="D5">
        <f t="shared" si="0"/>
        <v>0.25044879161160261</v>
      </c>
      <c r="E5">
        <f t="shared" si="0"/>
        <v>0.43147307349554653</v>
      </c>
      <c r="F5">
        <f t="shared" si="0"/>
        <v>0.47684243976011548</v>
      </c>
      <c r="G5">
        <f t="shared" si="0"/>
        <v>0.48000000000000009</v>
      </c>
      <c r="H5">
        <f t="shared" si="0"/>
        <v>0.47684243976011548</v>
      </c>
      <c r="I5">
        <f t="shared" si="0"/>
        <v>0.43147307349554653</v>
      </c>
      <c r="J5">
        <f t="shared" si="0"/>
        <v>0.25044879161160261</v>
      </c>
      <c r="K5">
        <f t="shared" si="0"/>
        <v>-0.17868769427282494</v>
      </c>
      <c r="L5">
        <f t="shared" si="0"/>
        <v>-0.93614683654714226</v>
      </c>
    </row>
    <row r="6" spans="1:12" x14ac:dyDescent="0.3">
      <c r="A6">
        <v>-0.2</v>
      </c>
      <c r="B6">
        <f t="shared" si="1"/>
        <v>-1.2961468365471422</v>
      </c>
      <c r="C6">
        <f t="shared" si="0"/>
        <v>-0.53868769427282504</v>
      </c>
      <c r="D6">
        <f t="shared" si="0"/>
        <v>-0.10955120838839749</v>
      </c>
      <c r="E6">
        <f t="shared" si="0"/>
        <v>7.1473073495546477E-2</v>
      </c>
      <c r="F6">
        <f t="shared" si="0"/>
        <v>0.11684243976011542</v>
      </c>
      <c r="G6">
        <f t="shared" si="0"/>
        <v>0.12000000000000002</v>
      </c>
      <c r="H6">
        <f t="shared" si="0"/>
        <v>0.11684243976011542</v>
      </c>
      <c r="I6">
        <f t="shared" si="0"/>
        <v>7.1473073495546477E-2</v>
      </c>
      <c r="J6">
        <f t="shared" si="0"/>
        <v>-0.10955120838839749</v>
      </c>
      <c r="K6">
        <f t="shared" si="0"/>
        <v>-0.53868769427282504</v>
      </c>
      <c r="L6">
        <f t="shared" si="0"/>
        <v>-1.2961468365471422</v>
      </c>
    </row>
    <row r="7" spans="1:12" x14ac:dyDescent="0.3">
      <c r="A7">
        <v>0</v>
      </c>
      <c r="B7">
        <f t="shared" si="1"/>
        <v>-1.4161468365471424</v>
      </c>
      <c r="C7">
        <f t="shared" si="0"/>
        <v>-0.65868769427282503</v>
      </c>
      <c r="D7">
        <f t="shared" si="0"/>
        <v>-0.22955120838839752</v>
      </c>
      <c r="E7">
        <f t="shared" si="0"/>
        <v>-4.8526926504453546E-2</v>
      </c>
      <c r="F7">
        <f t="shared" si="0"/>
        <v>-3.1575602398845972E-3</v>
      </c>
      <c r="G7">
        <f t="shared" si="0"/>
        <v>0</v>
      </c>
      <c r="H7">
        <f t="shared" si="0"/>
        <v>-3.1575602398845972E-3</v>
      </c>
      <c r="I7">
        <f t="shared" si="0"/>
        <v>-4.8526926504453546E-2</v>
      </c>
      <c r="J7">
        <f t="shared" si="0"/>
        <v>-0.22955120838839752</v>
      </c>
      <c r="K7">
        <f t="shared" si="0"/>
        <v>-0.65868769427282503</v>
      </c>
      <c r="L7">
        <f t="shared" si="0"/>
        <v>-1.4161468365471424</v>
      </c>
    </row>
    <row r="8" spans="1:12" x14ac:dyDescent="0.3">
      <c r="A8">
        <v>0.2</v>
      </c>
      <c r="B8">
        <f t="shared" si="1"/>
        <v>-1.2961468365471422</v>
      </c>
      <c r="C8">
        <f t="shared" si="0"/>
        <v>-0.53868769427282504</v>
      </c>
      <c r="D8">
        <f t="shared" si="0"/>
        <v>-0.10955120838839749</v>
      </c>
      <c r="E8">
        <f t="shared" si="0"/>
        <v>7.1473073495546477E-2</v>
      </c>
      <c r="F8">
        <f t="shared" si="0"/>
        <v>0.11684243976011542</v>
      </c>
      <c r="G8">
        <f t="shared" si="0"/>
        <v>0.12000000000000002</v>
      </c>
      <c r="H8">
        <f t="shared" si="0"/>
        <v>0.11684243976011542</v>
      </c>
      <c r="I8">
        <f t="shared" si="0"/>
        <v>7.1473073495546477E-2</v>
      </c>
      <c r="J8">
        <f t="shared" si="0"/>
        <v>-0.10955120838839749</v>
      </c>
      <c r="K8">
        <f t="shared" si="0"/>
        <v>-0.53868769427282504</v>
      </c>
      <c r="L8">
        <f t="shared" si="0"/>
        <v>-1.2961468365471422</v>
      </c>
    </row>
    <row r="9" spans="1:12" x14ac:dyDescent="0.3">
      <c r="A9">
        <v>0.4</v>
      </c>
      <c r="B9">
        <f t="shared" si="1"/>
        <v>-0.93614683654714226</v>
      </c>
      <c r="C9">
        <f t="shared" si="0"/>
        <v>-0.17868769427282494</v>
      </c>
      <c r="D9">
        <f t="shared" si="0"/>
        <v>0.25044879161160261</v>
      </c>
      <c r="E9">
        <f t="shared" si="0"/>
        <v>0.43147307349554653</v>
      </c>
      <c r="F9">
        <f t="shared" si="0"/>
        <v>0.47684243976011548</v>
      </c>
      <c r="G9">
        <f t="shared" si="0"/>
        <v>0.48000000000000009</v>
      </c>
      <c r="H9">
        <f t="shared" si="0"/>
        <v>0.47684243976011548</v>
      </c>
      <c r="I9">
        <f t="shared" si="0"/>
        <v>0.43147307349554653</v>
      </c>
      <c r="J9">
        <f t="shared" si="0"/>
        <v>0.25044879161160261</v>
      </c>
      <c r="K9">
        <f t="shared" si="0"/>
        <v>-0.17868769427282494</v>
      </c>
      <c r="L9">
        <f t="shared" si="0"/>
        <v>-0.93614683654714226</v>
      </c>
    </row>
    <row r="10" spans="1:12" x14ac:dyDescent="0.3">
      <c r="A10">
        <v>0.6</v>
      </c>
      <c r="B10">
        <f t="shared" si="1"/>
        <v>-0.33614683654714228</v>
      </c>
      <c r="C10">
        <f t="shared" si="0"/>
        <v>0.42131230572717504</v>
      </c>
      <c r="D10">
        <f t="shared" si="0"/>
        <v>0.85044879161160258</v>
      </c>
      <c r="E10">
        <f t="shared" si="0"/>
        <v>1.0314730734955466</v>
      </c>
      <c r="F10">
        <f t="shared" si="0"/>
        <v>1.0768424397601155</v>
      </c>
      <c r="G10">
        <f t="shared" si="0"/>
        <v>1.08</v>
      </c>
      <c r="H10">
        <f t="shared" si="0"/>
        <v>1.0768424397601155</v>
      </c>
      <c r="I10">
        <f t="shared" si="0"/>
        <v>1.0314730734955466</v>
      </c>
      <c r="J10">
        <f t="shared" si="0"/>
        <v>0.85044879161160258</v>
      </c>
      <c r="K10">
        <f t="shared" si="0"/>
        <v>0.42131230572717504</v>
      </c>
      <c r="L10">
        <f t="shared" si="0"/>
        <v>-0.33614683654714228</v>
      </c>
    </row>
    <row r="11" spans="1:12" x14ac:dyDescent="0.3">
      <c r="A11">
        <v>0.8</v>
      </c>
      <c r="B11">
        <f t="shared" si="1"/>
        <v>0.50385316345285802</v>
      </c>
      <c r="C11">
        <f t="shared" si="0"/>
        <v>1.2613123057271753</v>
      </c>
      <c r="D11">
        <f t="shared" si="0"/>
        <v>1.6904487916116029</v>
      </c>
      <c r="E11">
        <f t="shared" si="0"/>
        <v>1.8714730734955469</v>
      </c>
      <c r="F11">
        <f t="shared" si="0"/>
        <v>1.9168424397601158</v>
      </c>
      <c r="G11">
        <f t="shared" si="0"/>
        <v>1.9200000000000004</v>
      </c>
      <c r="H11">
        <f t="shared" si="0"/>
        <v>1.9168424397601158</v>
      </c>
      <c r="I11">
        <f t="shared" si="0"/>
        <v>1.8714730734955469</v>
      </c>
      <c r="J11">
        <f t="shared" si="0"/>
        <v>1.6904487916116029</v>
      </c>
      <c r="K11">
        <f t="shared" si="0"/>
        <v>1.2613123057271753</v>
      </c>
      <c r="L11">
        <f t="shared" si="0"/>
        <v>0.50385316345285802</v>
      </c>
    </row>
    <row r="12" spans="1:12" x14ac:dyDescent="0.3">
      <c r="A12">
        <v>1</v>
      </c>
      <c r="B12">
        <f t="shared" si="1"/>
        <v>1.5838531634528576</v>
      </c>
      <c r="C12">
        <f t="shared" si="0"/>
        <v>2.341312305727175</v>
      </c>
      <c r="D12">
        <f t="shared" si="0"/>
        <v>2.7704487916116025</v>
      </c>
      <c r="E12">
        <f t="shared" si="0"/>
        <v>2.9514730734955466</v>
      </c>
      <c r="F12">
        <f t="shared" si="0"/>
        <v>2.9968424397601154</v>
      </c>
      <c r="G12">
        <f t="shared" si="0"/>
        <v>3</v>
      </c>
      <c r="H12">
        <f t="shared" si="0"/>
        <v>2.9968424397601154</v>
      </c>
      <c r="I12">
        <f t="shared" si="0"/>
        <v>2.9514730734955466</v>
      </c>
      <c r="J12">
        <f t="shared" si="0"/>
        <v>2.7704487916116025</v>
      </c>
      <c r="K12">
        <f t="shared" si="0"/>
        <v>2.341312305727175</v>
      </c>
      <c r="L12">
        <f t="shared" si="0"/>
        <v>1.5838531634528576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График функции</vt:lpstr>
      <vt:lpstr>Диаграммы</vt:lpstr>
      <vt:lpstr>График с двумя условиями</vt:lpstr>
      <vt:lpstr>Поверхность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DaMort</dc:creator>
  <cp:lastModifiedBy>Arend Lambert</cp:lastModifiedBy>
  <dcterms:created xsi:type="dcterms:W3CDTF">2023-10-16T07:43:46Z</dcterms:created>
  <dcterms:modified xsi:type="dcterms:W3CDTF">2023-11-11T03:46:31Z</dcterms:modified>
</cp:coreProperties>
</file>