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hidePivotFieldList="1" defaultThemeVersion="124226"/>
  <bookViews>
    <workbookView xWindow="120" yWindow="105" windowWidth="15120" windowHeight="8010"/>
  </bookViews>
  <sheets>
    <sheet name="Таблица" sheetId="4" r:id="rId1"/>
    <sheet name="Свод_табл" sheetId="1" r:id="rId2"/>
    <sheet name="Консол" sheetId="2" r:id="rId3"/>
    <sheet name="Консол.Категории" sheetId="3" r:id="rId4"/>
  </sheets>
  <calcPr calcId="125725"/>
  <pivotCaches>
    <pivotCache cacheId="0" r:id="rId5"/>
  </pivotCaches>
</workbook>
</file>

<file path=xl/calcChain.xml><?xml version="1.0" encoding="utf-8"?>
<calcChain xmlns="http://schemas.openxmlformats.org/spreadsheetml/2006/main">
  <c r="J4" i="3"/>
  <c r="J5"/>
  <c r="J6"/>
  <c r="J7"/>
  <c r="J8"/>
  <c r="J3"/>
  <c r="I4"/>
  <c r="I5"/>
  <c r="I6"/>
  <c r="I7"/>
  <c r="I8"/>
  <c r="I3"/>
  <c r="H4"/>
  <c r="H5"/>
  <c r="H6"/>
  <c r="H7"/>
  <c r="H8"/>
  <c r="H3"/>
  <c r="D7"/>
  <c r="C7"/>
  <c r="C6"/>
  <c r="D6" s="1"/>
  <c r="D5"/>
  <c r="C5"/>
  <c r="C4"/>
  <c r="D4" s="1"/>
  <c r="D3"/>
  <c r="C3"/>
  <c r="I4" i="2"/>
  <c r="I5"/>
  <c r="I6"/>
  <c r="I7"/>
  <c r="I3"/>
  <c r="H4"/>
  <c r="H5"/>
  <c r="H6"/>
  <c r="H7"/>
  <c r="H3"/>
  <c r="D4"/>
  <c r="D5"/>
  <c r="D6"/>
  <c r="D7"/>
  <c r="D3"/>
  <c r="C4"/>
  <c r="C5"/>
  <c r="C6"/>
  <c r="C7"/>
  <c r="C3"/>
  <c r="E16" i="1"/>
  <c r="E13"/>
  <c r="E11"/>
  <c r="E10"/>
  <c r="E7"/>
  <c r="E9"/>
  <c r="E5"/>
  <c r="E4"/>
  <c r="E15"/>
  <c r="E12"/>
  <c r="E6"/>
  <c r="E3" l="1"/>
  <c r="E8"/>
  <c r="E14"/>
  <c r="E2"/>
</calcChain>
</file>

<file path=xl/sharedStrings.xml><?xml version="1.0" encoding="utf-8"?>
<sst xmlns="http://schemas.openxmlformats.org/spreadsheetml/2006/main" count="130" uniqueCount="35">
  <si>
    <t>Месяц</t>
  </si>
  <si>
    <t>Компьютер</t>
  </si>
  <si>
    <t>Магазин</t>
  </si>
  <si>
    <t>Количество</t>
  </si>
  <si>
    <t>Стоимость</t>
  </si>
  <si>
    <t>Январь</t>
  </si>
  <si>
    <t>Февраль</t>
  </si>
  <si>
    <t>Март</t>
  </si>
  <si>
    <t>Апрель</t>
  </si>
  <si>
    <t>Май</t>
  </si>
  <si>
    <t>AMD</t>
  </si>
  <si>
    <t>Pentium1</t>
  </si>
  <si>
    <t>Pentium2</t>
  </si>
  <si>
    <t>Альфа</t>
  </si>
  <si>
    <t>Бета</t>
  </si>
  <si>
    <t>Гамма</t>
  </si>
  <si>
    <t>Цена</t>
  </si>
  <si>
    <t>Сумма по полю Стоимость</t>
  </si>
  <si>
    <t>Названия строк</t>
  </si>
  <si>
    <t>Общий итог</t>
  </si>
  <si>
    <t>Названия столбцов</t>
  </si>
  <si>
    <t>Заработная плата за Январь</t>
  </si>
  <si>
    <t>Заработная плата за Февраль</t>
  </si>
  <si>
    <t>Фамилия</t>
  </si>
  <si>
    <t>Зарплата</t>
  </si>
  <si>
    <t xml:space="preserve">Под. налог(15%)  </t>
  </si>
  <si>
    <t>Сумма к выдаче</t>
  </si>
  <si>
    <t>Иванов</t>
  </si>
  <si>
    <t>Петров</t>
  </si>
  <si>
    <t>Сидоров</t>
  </si>
  <si>
    <t>Омаров</t>
  </si>
  <si>
    <t>Сыздыков</t>
  </si>
  <si>
    <t xml:space="preserve">Под. налог(5%)  </t>
  </si>
  <si>
    <t>Премия</t>
  </si>
  <si>
    <t>Дятлов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</si>
</sst>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[Lab11.xlsx]Таблица!СводнаяТаблица1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Таблица!$B$1:$B$2</c:f>
              <c:strCache>
                <c:ptCount val="1"/>
                <c:pt idx="0">
                  <c:v>Январь</c:v>
                </c:pt>
              </c:strCache>
            </c:strRef>
          </c:tx>
          <c:cat>
            <c:strRef>
              <c:f>Таблица!$A$3:$A$6</c:f>
              <c:strCache>
                <c:ptCount val="3"/>
                <c:pt idx="0">
                  <c:v>Альфа</c:v>
                </c:pt>
                <c:pt idx="1">
                  <c:v>Бета</c:v>
                </c:pt>
                <c:pt idx="2">
                  <c:v>Гамма</c:v>
                </c:pt>
              </c:strCache>
            </c:strRef>
          </c:cat>
          <c:val>
            <c:numRef>
              <c:f>Таблица!$B$3:$B$6</c:f>
              <c:numCache>
                <c:formatCode>General</c:formatCode>
                <c:ptCount val="3"/>
                <c:pt idx="0">
                  <c:v>7310</c:v>
                </c:pt>
                <c:pt idx="1">
                  <c:v>7820</c:v>
                </c:pt>
                <c:pt idx="2">
                  <c:v>14400</c:v>
                </c:pt>
              </c:numCache>
            </c:numRef>
          </c:val>
        </c:ser>
        <c:ser>
          <c:idx val="1"/>
          <c:order val="1"/>
          <c:tx>
            <c:strRef>
              <c:f>Таблица!$C$1:$C$2</c:f>
              <c:strCache>
                <c:ptCount val="1"/>
                <c:pt idx="0">
                  <c:v>Февраль</c:v>
                </c:pt>
              </c:strCache>
            </c:strRef>
          </c:tx>
          <c:cat>
            <c:strRef>
              <c:f>Таблица!$A$3:$A$6</c:f>
              <c:strCache>
                <c:ptCount val="3"/>
                <c:pt idx="0">
                  <c:v>Альфа</c:v>
                </c:pt>
                <c:pt idx="1">
                  <c:v>Бета</c:v>
                </c:pt>
                <c:pt idx="2">
                  <c:v>Гамма</c:v>
                </c:pt>
              </c:strCache>
            </c:strRef>
          </c:cat>
          <c:val>
            <c:numRef>
              <c:f>Таблица!$C$3:$C$6</c:f>
              <c:numCache>
                <c:formatCode>General</c:formatCode>
                <c:ptCount val="3"/>
                <c:pt idx="0">
                  <c:v>11610</c:v>
                </c:pt>
                <c:pt idx="1">
                  <c:v>5290</c:v>
                </c:pt>
                <c:pt idx="2">
                  <c:v>10880</c:v>
                </c:pt>
              </c:numCache>
            </c:numRef>
          </c:val>
        </c:ser>
        <c:ser>
          <c:idx val="2"/>
          <c:order val="2"/>
          <c:tx>
            <c:strRef>
              <c:f>Таблица!$D$1:$D$2</c:f>
              <c:strCache>
                <c:ptCount val="1"/>
                <c:pt idx="0">
                  <c:v>Март</c:v>
                </c:pt>
              </c:strCache>
            </c:strRef>
          </c:tx>
          <c:cat>
            <c:strRef>
              <c:f>Таблица!$A$3:$A$6</c:f>
              <c:strCache>
                <c:ptCount val="3"/>
                <c:pt idx="0">
                  <c:v>Альфа</c:v>
                </c:pt>
                <c:pt idx="1">
                  <c:v>Бета</c:v>
                </c:pt>
                <c:pt idx="2">
                  <c:v>Гамма</c:v>
                </c:pt>
              </c:strCache>
            </c:strRef>
          </c:cat>
          <c:val>
            <c:numRef>
              <c:f>Таблица!$D$3:$D$6</c:f>
              <c:numCache>
                <c:formatCode>General</c:formatCode>
                <c:ptCount val="3"/>
                <c:pt idx="0">
                  <c:v>9675</c:v>
                </c:pt>
                <c:pt idx="1">
                  <c:v>10350</c:v>
                </c:pt>
                <c:pt idx="2">
                  <c:v>7360</c:v>
                </c:pt>
              </c:numCache>
            </c:numRef>
          </c:val>
        </c:ser>
        <c:ser>
          <c:idx val="3"/>
          <c:order val="3"/>
          <c:tx>
            <c:strRef>
              <c:f>Таблица!$E$1:$E$2</c:f>
              <c:strCache>
                <c:ptCount val="1"/>
                <c:pt idx="0">
                  <c:v>Апрель</c:v>
                </c:pt>
              </c:strCache>
            </c:strRef>
          </c:tx>
          <c:cat>
            <c:strRef>
              <c:f>Таблица!$A$3:$A$6</c:f>
              <c:strCache>
                <c:ptCount val="3"/>
                <c:pt idx="0">
                  <c:v>Альфа</c:v>
                </c:pt>
                <c:pt idx="1">
                  <c:v>Бета</c:v>
                </c:pt>
                <c:pt idx="2">
                  <c:v>Гамма</c:v>
                </c:pt>
              </c:strCache>
            </c:strRef>
          </c:cat>
          <c:val>
            <c:numRef>
              <c:f>Таблица!$E$3:$E$6</c:f>
              <c:numCache>
                <c:formatCode>General</c:formatCode>
                <c:ptCount val="3"/>
                <c:pt idx="0">
                  <c:v>12040</c:v>
                </c:pt>
                <c:pt idx="1">
                  <c:v>12880</c:v>
                </c:pt>
                <c:pt idx="2">
                  <c:v>14400</c:v>
                </c:pt>
              </c:numCache>
            </c:numRef>
          </c:val>
        </c:ser>
        <c:ser>
          <c:idx val="4"/>
          <c:order val="4"/>
          <c:tx>
            <c:strRef>
              <c:f>Таблица!$F$1:$F$2</c:f>
              <c:strCache>
                <c:ptCount val="1"/>
                <c:pt idx="0">
                  <c:v>Май</c:v>
                </c:pt>
              </c:strCache>
            </c:strRef>
          </c:tx>
          <c:cat>
            <c:strRef>
              <c:f>Таблица!$A$3:$A$6</c:f>
              <c:strCache>
                <c:ptCount val="3"/>
                <c:pt idx="0">
                  <c:v>Альфа</c:v>
                </c:pt>
                <c:pt idx="1">
                  <c:v>Бета</c:v>
                </c:pt>
                <c:pt idx="2">
                  <c:v>Гамма</c:v>
                </c:pt>
              </c:strCache>
            </c:strRef>
          </c:cat>
          <c:val>
            <c:numRef>
              <c:f>Таблица!$F$3:$F$6</c:f>
              <c:numCache>
                <c:formatCode>General</c:formatCode>
                <c:ptCount val="3"/>
                <c:pt idx="0">
                  <c:v>9245</c:v>
                </c:pt>
                <c:pt idx="1">
                  <c:v>15410</c:v>
                </c:pt>
                <c:pt idx="2">
                  <c:v>17920</c:v>
                </c:pt>
              </c:numCache>
            </c:numRef>
          </c:val>
        </c:ser>
        <c:axId val="120532352"/>
        <c:axId val="120554624"/>
      </c:barChart>
      <c:catAx>
        <c:axId val="120532352"/>
        <c:scaling>
          <c:orientation val="minMax"/>
        </c:scaling>
        <c:axPos val="b"/>
        <c:tickLblPos val="nextTo"/>
        <c:crossAx val="120554624"/>
        <c:crosses val="autoZero"/>
        <c:auto val="1"/>
        <c:lblAlgn val="ctr"/>
        <c:lblOffset val="100"/>
      </c:catAx>
      <c:valAx>
        <c:axId val="120554624"/>
        <c:scaling>
          <c:orientation val="minMax"/>
        </c:scaling>
        <c:axPos val="l"/>
        <c:majorGridlines/>
        <c:numFmt formatCode="General" sourceLinked="1"/>
        <c:tickLblPos val="nextTo"/>
        <c:crossAx val="1205323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6</xdr:row>
      <xdr:rowOff>95250</xdr:rowOff>
    </xdr:from>
    <xdr:to>
      <xdr:col>4</xdr:col>
      <xdr:colOff>409575</xdr:colOff>
      <xdr:row>20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254.387590972219" createdVersion="3" refreshedVersion="3" minRefreshableVersion="3" recordCount="15">
  <cacheSource type="worksheet">
    <worksheetSource ref="A1:E16" sheet="Свод_табл"/>
  </cacheSource>
  <cacheFields count="5">
    <cacheField name="Месяц" numFmtId="0">
      <sharedItems count="5">
        <s v="Январь"/>
        <s v="Февраль"/>
        <s v="Март"/>
        <s v="Апрель"/>
        <s v="Май"/>
      </sharedItems>
    </cacheField>
    <cacheField name="Компьютер" numFmtId="0">
      <sharedItems/>
    </cacheField>
    <cacheField name="Магазин" numFmtId="0">
      <sharedItems count="3">
        <s v="Альфа"/>
        <s v="Бета"/>
        <s v="Гамма"/>
      </sharedItems>
    </cacheField>
    <cacheField name="Количество" numFmtId="0">
      <sharedItems containsSemiMixedTypes="0" containsString="0" containsNumber="1" containsInteger="1" minValue="23" maxValue="67"/>
    </cacheField>
    <cacheField name="Стоимость" numFmtId="0">
      <sharedItems containsSemiMixedTypes="0" containsString="0" containsNumber="1" containsInteger="1" minValue="5290" maxValue="1792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s v="AMD"/>
    <x v="0"/>
    <n v="34"/>
    <n v="7310"/>
  </r>
  <r>
    <x v="0"/>
    <s v="Pentium1"/>
    <x v="1"/>
    <n v="34"/>
    <n v="7820"/>
  </r>
  <r>
    <x v="0"/>
    <s v="Pentium2"/>
    <x v="2"/>
    <n v="45"/>
    <n v="14400"/>
  </r>
  <r>
    <x v="1"/>
    <s v="AMD"/>
    <x v="0"/>
    <n v="54"/>
    <n v="11610"/>
  </r>
  <r>
    <x v="1"/>
    <s v="Pentium1"/>
    <x v="1"/>
    <n v="23"/>
    <n v="5290"/>
  </r>
  <r>
    <x v="1"/>
    <s v="Pentium2"/>
    <x v="2"/>
    <n v="34"/>
    <n v="10880"/>
  </r>
  <r>
    <x v="2"/>
    <s v="AMD"/>
    <x v="0"/>
    <n v="45"/>
    <n v="9675"/>
  </r>
  <r>
    <x v="2"/>
    <s v="Pentium1"/>
    <x v="1"/>
    <n v="45"/>
    <n v="10350"/>
  </r>
  <r>
    <x v="2"/>
    <s v="Pentium2"/>
    <x v="2"/>
    <n v="23"/>
    <n v="7360"/>
  </r>
  <r>
    <x v="3"/>
    <s v="AMD"/>
    <x v="0"/>
    <n v="56"/>
    <n v="12040"/>
  </r>
  <r>
    <x v="3"/>
    <s v="Pentium1"/>
    <x v="1"/>
    <n v="56"/>
    <n v="12880"/>
  </r>
  <r>
    <x v="3"/>
    <s v="Pentium2"/>
    <x v="2"/>
    <n v="45"/>
    <n v="14400"/>
  </r>
  <r>
    <x v="4"/>
    <s v="AMD"/>
    <x v="0"/>
    <n v="43"/>
    <n v="9245"/>
  </r>
  <r>
    <x v="4"/>
    <s v="Pentium1"/>
    <x v="1"/>
    <n v="67"/>
    <n v="15410"/>
  </r>
  <r>
    <x v="4"/>
    <s v="Pentium2"/>
    <x v="2"/>
    <n v="56"/>
    <n v="179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1:G6" firstHeaderRow="1" firstDataRow="2" firstDataCol="1"/>
  <pivotFields count="5"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Стоимость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B28" sqref="B28"/>
    </sheetView>
  </sheetViews>
  <sheetFormatPr defaultRowHeight="15"/>
  <cols>
    <col min="1" max="1" width="26.140625" customWidth="1"/>
    <col min="2" max="2" width="20.85546875" customWidth="1"/>
    <col min="3" max="3" width="9" customWidth="1"/>
    <col min="4" max="4" width="6" customWidth="1"/>
    <col min="5" max="5" width="7.85546875" customWidth="1"/>
    <col min="6" max="6" width="6" customWidth="1"/>
    <col min="7" max="7" width="11.85546875" bestFit="1" customWidth="1"/>
  </cols>
  <sheetData>
    <row r="1" spans="1:7">
      <c r="A1" s="4" t="s">
        <v>17</v>
      </c>
      <c r="B1" s="4" t="s">
        <v>20</v>
      </c>
    </row>
    <row r="2" spans="1:7">
      <c r="A2" s="4" t="s">
        <v>18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19</v>
      </c>
    </row>
    <row r="3" spans="1:7">
      <c r="A3" s="2" t="s">
        <v>13</v>
      </c>
      <c r="B3" s="3">
        <v>7310</v>
      </c>
      <c r="C3" s="3">
        <v>11610</v>
      </c>
      <c r="D3" s="3">
        <v>9675</v>
      </c>
      <c r="E3" s="3">
        <v>12040</v>
      </c>
      <c r="F3" s="3">
        <v>9245</v>
      </c>
      <c r="G3" s="3">
        <v>49880</v>
      </c>
    </row>
    <row r="4" spans="1:7">
      <c r="A4" s="2" t="s">
        <v>14</v>
      </c>
      <c r="B4" s="3">
        <v>7820</v>
      </c>
      <c r="C4" s="3">
        <v>5290</v>
      </c>
      <c r="D4" s="3">
        <v>10350</v>
      </c>
      <c r="E4" s="3">
        <v>12880</v>
      </c>
      <c r="F4" s="3">
        <v>15410</v>
      </c>
      <c r="G4" s="3">
        <v>51750</v>
      </c>
    </row>
    <row r="5" spans="1:7">
      <c r="A5" s="2" t="s">
        <v>15</v>
      </c>
      <c r="B5" s="3">
        <v>14400</v>
      </c>
      <c r="C5" s="3">
        <v>10880</v>
      </c>
      <c r="D5" s="3">
        <v>7360</v>
      </c>
      <c r="E5" s="3">
        <v>14400</v>
      </c>
      <c r="F5" s="3">
        <v>17920</v>
      </c>
      <c r="G5" s="3">
        <v>64960</v>
      </c>
    </row>
    <row r="6" spans="1:7">
      <c r="A6" s="2" t="s">
        <v>19</v>
      </c>
      <c r="B6" s="3">
        <v>29530</v>
      </c>
      <c r="C6" s="3">
        <v>27780</v>
      </c>
      <c r="D6" s="3">
        <v>27385</v>
      </c>
      <c r="E6" s="3">
        <v>39320</v>
      </c>
      <c r="F6" s="3">
        <v>42575</v>
      </c>
      <c r="G6" s="3">
        <v>166590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G1" sqref="G1"/>
    </sheetView>
  </sheetViews>
  <sheetFormatPr defaultRowHeight="15"/>
  <cols>
    <col min="2" max="2" width="11.85546875" customWidth="1"/>
    <col min="3" max="3" width="9.7109375" customWidth="1"/>
    <col min="4" max="4" width="11.28515625" customWidth="1"/>
    <col min="5" max="5" width="10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13</v>
      </c>
      <c r="D2" s="2">
        <v>34</v>
      </c>
      <c r="E2">
        <f>D2*$B$19</f>
        <v>7310</v>
      </c>
    </row>
    <row r="3" spans="1:5">
      <c r="A3" t="s">
        <v>5</v>
      </c>
      <c r="B3" t="s">
        <v>11</v>
      </c>
      <c r="C3" t="s">
        <v>14</v>
      </c>
      <c r="D3" s="2">
        <v>34</v>
      </c>
      <c r="E3">
        <f>D3*$B$20</f>
        <v>7820</v>
      </c>
    </row>
    <row r="4" spans="1:5">
      <c r="A4" t="s">
        <v>5</v>
      </c>
      <c r="B4" t="s">
        <v>12</v>
      </c>
      <c r="C4" t="s">
        <v>15</v>
      </c>
      <c r="D4" s="2">
        <v>45</v>
      </c>
      <c r="E4">
        <f>D4*$B$21</f>
        <v>14400</v>
      </c>
    </row>
    <row r="5" spans="1:5">
      <c r="A5" t="s">
        <v>6</v>
      </c>
      <c r="B5" t="s">
        <v>10</v>
      </c>
      <c r="C5" t="s">
        <v>13</v>
      </c>
      <c r="D5" s="2">
        <v>54</v>
      </c>
      <c r="E5">
        <f>D5*$B$19</f>
        <v>11610</v>
      </c>
    </row>
    <row r="6" spans="1:5">
      <c r="A6" t="s">
        <v>6</v>
      </c>
      <c r="B6" t="s">
        <v>11</v>
      </c>
      <c r="C6" t="s">
        <v>14</v>
      </c>
      <c r="D6" s="2">
        <v>23</v>
      </c>
      <c r="E6">
        <f>D6*$B$20</f>
        <v>5290</v>
      </c>
    </row>
    <row r="7" spans="1:5">
      <c r="A7" t="s">
        <v>6</v>
      </c>
      <c r="B7" t="s">
        <v>12</v>
      </c>
      <c r="C7" t="s">
        <v>15</v>
      </c>
      <c r="D7" s="2">
        <v>34</v>
      </c>
      <c r="E7">
        <f>D7*$B$21</f>
        <v>10880</v>
      </c>
    </row>
    <row r="8" spans="1:5">
      <c r="A8" t="s">
        <v>7</v>
      </c>
      <c r="B8" t="s">
        <v>10</v>
      </c>
      <c r="C8" t="s">
        <v>13</v>
      </c>
      <c r="D8" s="2">
        <v>45</v>
      </c>
      <c r="E8">
        <f t="shared" ref="E8:E14" si="0">D8*$B$19</f>
        <v>9675</v>
      </c>
    </row>
    <row r="9" spans="1:5">
      <c r="A9" t="s">
        <v>7</v>
      </c>
      <c r="B9" t="s">
        <v>11</v>
      </c>
      <c r="C9" t="s">
        <v>14</v>
      </c>
      <c r="D9" s="2">
        <v>45</v>
      </c>
      <c r="E9">
        <f>D9*$B$20</f>
        <v>10350</v>
      </c>
    </row>
    <row r="10" spans="1:5">
      <c r="A10" t="s">
        <v>7</v>
      </c>
      <c r="B10" t="s">
        <v>12</v>
      </c>
      <c r="C10" t="s">
        <v>15</v>
      </c>
      <c r="D10" s="2">
        <v>23</v>
      </c>
      <c r="E10">
        <f>D10*$B$21</f>
        <v>7360</v>
      </c>
    </row>
    <row r="11" spans="1:5">
      <c r="A11" t="s">
        <v>8</v>
      </c>
      <c r="B11" t="s">
        <v>10</v>
      </c>
      <c r="C11" t="s">
        <v>13</v>
      </c>
      <c r="D11" s="2">
        <v>56</v>
      </c>
      <c r="E11">
        <f>D11*$B$19</f>
        <v>12040</v>
      </c>
    </row>
    <row r="12" spans="1:5">
      <c r="A12" t="s">
        <v>8</v>
      </c>
      <c r="B12" t="s">
        <v>11</v>
      </c>
      <c r="C12" t="s">
        <v>14</v>
      </c>
      <c r="D12" s="2">
        <v>56</v>
      </c>
      <c r="E12">
        <f>D12*$B$20</f>
        <v>12880</v>
      </c>
    </row>
    <row r="13" spans="1:5">
      <c r="A13" t="s">
        <v>8</v>
      </c>
      <c r="B13" t="s">
        <v>12</v>
      </c>
      <c r="C13" t="s">
        <v>15</v>
      </c>
      <c r="D13" s="2">
        <v>45</v>
      </c>
      <c r="E13">
        <f>D13*$B$21</f>
        <v>14400</v>
      </c>
    </row>
    <row r="14" spans="1:5">
      <c r="A14" t="s">
        <v>9</v>
      </c>
      <c r="B14" t="s">
        <v>10</v>
      </c>
      <c r="C14" t="s">
        <v>13</v>
      </c>
      <c r="D14" s="2">
        <v>43</v>
      </c>
      <c r="E14">
        <f t="shared" si="0"/>
        <v>9245</v>
      </c>
    </row>
    <row r="15" spans="1:5">
      <c r="A15" t="s">
        <v>9</v>
      </c>
      <c r="B15" t="s">
        <v>11</v>
      </c>
      <c r="C15" t="s">
        <v>14</v>
      </c>
      <c r="D15" s="2">
        <v>67</v>
      </c>
      <c r="E15">
        <f>D15*$B$20</f>
        <v>15410</v>
      </c>
    </row>
    <row r="16" spans="1:5">
      <c r="A16" t="s">
        <v>9</v>
      </c>
      <c r="B16" t="s">
        <v>12</v>
      </c>
      <c r="C16" t="s">
        <v>15</v>
      </c>
      <c r="D16" s="2">
        <v>56</v>
      </c>
      <c r="E16">
        <f>D16*$B$21</f>
        <v>17920</v>
      </c>
    </row>
    <row r="18" spans="1:2">
      <c r="A18" s="1" t="s">
        <v>1</v>
      </c>
      <c r="B18" s="1" t="s">
        <v>16</v>
      </c>
    </row>
    <row r="19" spans="1:2">
      <c r="A19" t="s">
        <v>10</v>
      </c>
      <c r="B19" s="2">
        <v>215</v>
      </c>
    </row>
    <row r="20" spans="1:2">
      <c r="A20" t="s">
        <v>11</v>
      </c>
      <c r="B20" s="2">
        <v>230</v>
      </c>
    </row>
    <row r="21" spans="1:2">
      <c r="A21" t="s">
        <v>12</v>
      </c>
      <c r="B21" s="2">
        <v>320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selection activeCell="B13" sqref="B13"/>
    </sheetView>
  </sheetViews>
  <sheetFormatPr defaultRowHeight="15"/>
  <cols>
    <col min="1" max="1" width="10.5703125" customWidth="1"/>
    <col min="3" max="4" width="16" customWidth="1"/>
    <col min="5" max="5" width="15.5703125" customWidth="1"/>
    <col min="6" max="6" width="10.28515625" customWidth="1"/>
    <col min="8" max="8" width="16" customWidth="1"/>
    <col min="9" max="9" width="15.5703125" customWidth="1"/>
  </cols>
  <sheetData>
    <row r="1" spans="1:9">
      <c r="A1" s="5" t="s">
        <v>21</v>
      </c>
      <c r="B1" s="5"/>
      <c r="C1" s="5"/>
      <c r="D1" s="5"/>
      <c r="F1" s="5" t="s">
        <v>22</v>
      </c>
      <c r="G1" s="5"/>
      <c r="H1" s="5"/>
      <c r="I1" s="5"/>
    </row>
    <row r="2" spans="1:9">
      <c r="A2" t="s">
        <v>23</v>
      </c>
      <c r="B2" t="s">
        <v>24</v>
      </c>
      <c r="C2" t="s">
        <v>25</v>
      </c>
      <c r="D2" t="s">
        <v>26</v>
      </c>
      <c r="F2" t="s">
        <v>23</v>
      </c>
      <c r="G2" t="s">
        <v>24</v>
      </c>
      <c r="H2" t="s">
        <v>32</v>
      </c>
      <c r="I2" t="s">
        <v>26</v>
      </c>
    </row>
    <row r="3" spans="1:9">
      <c r="A3" t="s">
        <v>27</v>
      </c>
      <c r="B3">
        <v>42000</v>
      </c>
      <c r="C3">
        <f>B3*0.15</f>
        <v>6300</v>
      </c>
      <c r="D3">
        <f>B3-C3</f>
        <v>35700</v>
      </c>
      <c r="F3" t="s">
        <v>27</v>
      </c>
      <c r="G3">
        <v>32000</v>
      </c>
      <c r="H3">
        <f>G3*0.05</f>
        <v>1600</v>
      </c>
      <c r="I3">
        <f>G3-H3</f>
        <v>30400</v>
      </c>
    </row>
    <row r="4" spans="1:9">
      <c r="A4" t="s">
        <v>28</v>
      </c>
      <c r="B4">
        <v>31000</v>
      </c>
      <c r="C4">
        <f t="shared" ref="C4:C7" si="0">B4*0.15</f>
        <v>4650</v>
      </c>
      <c r="D4">
        <f t="shared" ref="D4:D7" si="1">B4-C4</f>
        <v>26350</v>
      </c>
      <c r="F4" t="s">
        <v>28</v>
      </c>
      <c r="G4">
        <v>35000</v>
      </c>
      <c r="H4">
        <f t="shared" ref="H4:H7" si="2">G4*0.05</f>
        <v>1750</v>
      </c>
      <c r="I4">
        <f t="shared" ref="I4:I7" si="3">G4-H4</f>
        <v>33250</v>
      </c>
    </row>
    <row r="5" spans="1:9">
      <c r="A5" t="s">
        <v>29</v>
      </c>
      <c r="B5">
        <v>56000</v>
      </c>
      <c r="C5">
        <f t="shared" si="0"/>
        <v>8400</v>
      </c>
      <c r="D5">
        <f t="shared" si="1"/>
        <v>47600</v>
      </c>
      <c r="F5" t="s">
        <v>29</v>
      </c>
      <c r="G5">
        <v>50000</v>
      </c>
      <c r="H5">
        <f t="shared" si="2"/>
        <v>2500</v>
      </c>
      <c r="I5">
        <f t="shared" si="3"/>
        <v>47500</v>
      </c>
    </row>
    <row r="6" spans="1:9">
      <c r="A6" t="s">
        <v>30</v>
      </c>
      <c r="B6">
        <v>34000</v>
      </c>
      <c r="C6">
        <f t="shared" si="0"/>
        <v>5100</v>
      </c>
      <c r="D6">
        <f t="shared" si="1"/>
        <v>28900</v>
      </c>
      <c r="F6" t="s">
        <v>30</v>
      </c>
      <c r="G6">
        <v>36000</v>
      </c>
      <c r="H6">
        <f t="shared" si="2"/>
        <v>1800</v>
      </c>
      <c r="I6">
        <f t="shared" si="3"/>
        <v>34200</v>
      </c>
    </row>
    <row r="7" spans="1:9">
      <c r="A7" t="s">
        <v>31</v>
      </c>
      <c r="B7">
        <v>53000</v>
      </c>
      <c r="C7">
        <f t="shared" si="0"/>
        <v>7950</v>
      </c>
      <c r="D7">
        <f t="shared" si="1"/>
        <v>45050</v>
      </c>
      <c r="F7" t="s">
        <v>31</v>
      </c>
      <c r="G7">
        <v>49000</v>
      </c>
      <c r="H7">
        <f t="shared" si="2"/>
        <v>2450</v>
      </c>
      <c r="I7">
        <f t="shared" si="3"/>
        <v>46550</v>
      </c>
    </row>
    <row r="10" spans="1:9">
      <c r="B10" t="s">
        <v>24</v>
      </c>
      <c r="C10" t="s">
        <v>25</v>
      </c>
      <c r="D10" t="s">
        <v>32</v>
      </c>
      <c r="E10" t="s">
        <v>26</v>
      </c>
    </row>
    <row r="11" spans="1:9">
      <c r="A11" t="s">
        <v>27</v>
      </c>
      <c r="B11">
        <v>74000</v>
      </c>
      <c r="C11">
        <v>6300</v>
      </c>
      <c r="D11">
        <v>1600</v>
      </c>
      <c r="E11">
        <v>66100</v>
      </c>
    </row>
    <row r="12" spans="1:9">
      <c r="A12" t="s">
        <v>28</v>
      </c>
      <c r="B12">
        <v>66000</v>
      </c>
      <c r="C12">
        <v>4650</v>
      </c>
      <c r="D12">
        <v>1750</v>
      </c>
      <c r="E12">
        <v>59600</v>
      </c>
    </row>
    <row r="13" spans="1:9">
      <c r="A13" t="s">
        <v>29</v>
      </c>
      <c r="B13">
        <v>106000</v>
      </c>
      <c r="C13">
        <v>8400</v>
      </c>
      <c r="D13">
        <v>2500</v>
      </c>
      <c r="E13">
        <v>95100</v>
      </c>
    </row>
    <row r="14" spans="1:9">
      <c r="A14" t="s">
        <v>30</v>
      </c>
      <c r="B14">
        <v>70000</v>
      </c>
      <c r="C14">
        <v>5100</v>
      </c>
      <c r="D14">
        <v>1800</v>
      </c>
      <c r="E14">
        <v>63100</v>
      </c>
    </row>
    <row r="15" spans="1:9">
      <c r="A15" t="s">
        <v>31</v>
      </c>
      <c r="B15">
        <v>102000</v>
      </c>
      <c r="C15">
        <v>7950</v>
      </c>
      <c r="D15">
        <v>2450</v>
      </c>
      <c r="E15">
        <v>91600</v>
      </c>
    </row>
  </sheetData>
  <dataConsolidate leftLabels="1" topLabels="1">
    <dataRefs count="2">
      <dataRef ref="A2:D7" sheet="Консол"/>
      <dataRef ref="F2:I7" sheet="Консол"/>
    </dataRefs>
  </dataConsolidate>
  <mergeCells count="2">
    <mergeCell ref="A1:D1"/>
    <mergeCell ref="F1:I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selection activeCell="D7" sqref="D7"/>
    </sheetView>
  </sheetViews>
  <sheetFormatPr defaultRowHeight="15"/>
  <cols>
    <col min="2" max="2" width="9.85546875" customWidth="1"/>
    <col min="3" max="3" width="15.5703125" customWidth="1"/>
    <col min="4" max="4" width="18.28515625" customWidth="1"/>
    <col min="5" max="5" width="15.28515625" customWidth="1"/>
    <col min="6" max="6" width="15.85546875" customWidth="1"/>
    <col min="7" max="7" width="10" customWidth="1"/>
    <col min="8" max="8" width="14.42578125" customWidth="1"/>
    <col min="9" max="9" width="15.42578125" customWidth="1"/>
    <col min="10" max="10" width="15.5703125" customWidth="1"/>
  </cols>
  <sheetData>
    <row r="1" spans="1:10">
      <c r="A1" s="5" t="s">
        <v>21</v>
      </c>
      <c r="B1" s="5"/>
      <c r="C1" s="5"/>
      <c r="D1" s="5"/>
      <c r="F1" s="5" t="s">
        <v>22</v>
      </c>
      <c r="G1" s="5"/>
      <c r="H1" s="5"/>
      <c r="I1" s="5"/>
    </row>
    <row r="2" spans="1:10">
      <c r="A2" t="s">
        <v>23</v>
      </c>
      <c r="B2" t="s">
        <v>24</v>
      </c>
      <c r="C2" t="s">
        <v>25</v>
      </c>
      <c r="D2" t="s">
        <v>26</v>
      </c>
      <c r="F2" t="s">
        <v>23</v>
      </c>
      <c r="G2" t="s">
        <v>24</v>
      </c>
      <c r="H2" t="s">
        <v>33</v>
      </c>
      <c r="I2" t="s">
        <v>32</v>
      </c>
      <c r="J2" t="s">
        <v>26</v>
      </c>
    </row>
    <row r="3" spans="1:10">
      <c r="A3" t="s">
        <v>27</v>
      </c>
      <c r="B3">
        <v>42000</v>
      </c>
      <c r="C3">
        <f>B3*0.15</f>
        <v>6300</v>
      </c>
      <c r="D3">
        <f>B3-C3</f>
        <v>35700</v>
      </c>
      <c r="F3" t="s">
        <v>27</v>
      </c>
      <c r="G3">
        <v>32000</v>
      </c>
      <c r="H3">
        <f>G3*0.1</f>
        <v>3200</v>
      </c>
      <c r="I3">
        <f>(G3+H3)*0.05</f>
        <v>1760</v>
      </c>
      <c r="J3">
        <f>G3+H3-I3</f>
        <v>33440</v>
      </c>
    </row>
    <row r="4" spans="1:10">
      <c r="A4" t="s">
        <v>28</v>
      </c>
      <c r="B4">
        <v>31000</v>
      </c>
      <c r="C4">
        <f t="shared" ref="C4:C7" si="0">B4*0.15</f>
        <v>4650</v>
      </c>
      <c r="D4">
        <f t="shared" ref="D4:D7" si="1">B4-C4</f>
        <v>26350</v>
      </c>
      <c r="F4" t="s">
        <v>28</v>
      </c>
      <c r="G4">
        <v>35000</v>
      </c>
      <c r="H4">
        <f t="shared" ref="H4:H8" si="2">G4*0.1</f>
        <v>3500</v>
      </c>
      <c r="I4">
        <f t="shared" ref="I4:I8" si="3">(G4+H4)*0.05</f>
        <v>1925</v>
      </c>
      <c r="J4">
        <f t="shared" ref="J4:J8" si="4">G4+H4-I4</f>
        <v>36575</v>
      </c>
    </row>
    <row r="5" spans="1:10">
      <c r="A5" t="s">
        <v>29</v>
      </c>
      <c r="B5">
        <v>56000</v>
      </c>
      <c r="C5">
        <f t="shared" si="0"/>
        <v>8400</v>
      </c>
      <c r="D5">
        <f t="shared" si="1"/>
        <v>47600</v>
      </c>
      <c r="F5" t="s">
        <v>29</v>
      </c>
      <c r="G5">
        <v>50000</v>
      </c>
      <c r="H5">
        <f t="shared" si="2"/>
        <v>5000</v>
      </c>
      <c r="I5">
        <f t="shared" si="3"/>
        <v>2750</v>
      </c>
      <c r="J5">
        <f t="shared" si="4"/>
        <v>52250</v>
      </c>
    </row>
    <row r="6" spans="1:10">
      <c r="A6" t="s">
        <v>30</v>
      </c>
      <c r="B6">
        <v>34000</v>
      </c>
      <c r="C6">
        <f t="shared" si="0"/>
        <v>5100</v>
      </c>
      <c r="D6">
        <f t="shared" si="1"/>
        <v>28900</v>
      </c>
      <c r="F6" t="s">
        <v>30</v>
      </c>
      <c r="G6">
        <v>36000</v>
      </c>
      <c r="H6">
        <f t="shared" si="2"/>
        <v>3600</v>
      </c>
      <c r="I6">
        <f t="shared" si="3"/>
        <v>1980</v>
      </c>
      <c r="J6">
        <f t="shared" si="4"/>
        <v>37620</v>
      </c>
    </row>
    <row r="7" spans="1:10">
      <c r="A7" t="s">
        <v>31</v>
      </c>
      <c r="B7">
        <v>53000</v>
      </c>
      <c r="C7">
        <f t="shared" si="0"/>
        <v>7950</v>
      </c>
      <c r="D7">
        <f t="shared" si="1"/>
        <v>45050</v>
      </c>
      <c r="F7" t="s">
        <v>31</v>
      </c>
      <c r="G7">
        <v>49000</v>
      </c>
      <c r="H7">
        <f t="shared" si="2"/>
        <v>4900</v>
      </c>
      <c r="I7">
        <f t="shared" si="3"/>
        <v>2695</v>
      </c>
      <c r="J7">
        <f t="shared" si="4"/>
        <v>51205</v>
      </c>
    </row>
    <row r="8" spans="1:10">
      <c r="F8" t="s">
        <v>34</v>
      </c>
      <c r="G8">
        <v>46000</v>
      </c>
      <c r="H8">
        <f t="shared" si="2"/>
        <v>4600</v>
      </c>
      <c r="I8">
        <f t="shared" si="3"/>
        <v>2530</v>
      </c>
      <c r="J8">
        <f t="shared" si="4"/>
        <v>48070</v>
      </c>
    </row>
    <row r="10" spans="1:10">
      <c r="B10" t="s">
        <v>24</v>
      </c>
      <c r="C10" t="s">
        <v>25</v>
      </c>
      <c r="D10" t="s">
        <v>33</v>
      </c>
      <c r="E10" t="s">
        <v>32</v>
      </c>
      <c r="F10" t="s">
        <v>26</v>
      </c>
    </row>
    <row r="11" spans="1:10">
      <c r="A11" t="s">
        <v>27</v>
      </c>
      <c r="B11">
        <v>74000</v>
      </c>
      <c r="C11">
        <v>6300</v>
      </c>
      <c r="D11">
        <v>3200</v>
      </c>
      <c r="E11">
        <v>1760</v>
      </c>
      <c r="F11">
        <v>69140</v>
      </c>
    </row>
    <row r="12" spans="1:10">
      <c r="A12" t="s">
        <v>28</v>
      </c>
      <c r="B12">
        <v>66000</v>
      </c>
      <c r="C12">
        <v>4650</v>
      </c>
      <c r="D12">
        <v>3500</v>
      </c>
      <c r="E12">
        <v>1925</v>
      </c>
      <c r="F12">
        <v>62925</v>
      </c>
    </row>
    <row r="13" spans="1:10">
      <c r="A13" t="s">
        <v>29</v>
      </c>
      <c r="B13">
        <v>106000</v>
      </c>
      <c r="C13">
        <v>8400</v>
      </c>
      <c r="D13">
        <v>5000</v>
      </c>
      <c r="E13">
        <v>2750</v>
      </c>
      <c r="F13">
        <v>99850</v>
      </c>
    </row>
    <row r="14" spans="1:10">
      <c r="A14" t="s">
        <v>30</v>
      </c>
      <c r="B14">
        <v>70000</v>
      </c>
      <c r="C14">
        <v>5100</v>
      </c>
      <c r="D14">
        <v>3600</v>
      </c>
      <c r="E14">
        <v>1980</v>
      </c>
      <c r="F14">
        <v>66520</v>
      </c>
    </row>
    <row r="15" spans="1:10">
      <c r="A15" t="s">
        <v>31</v>
      </c>
      <c r="B15">
        <v>102000</v>
      </c>
      <c r="C15">
        <v>7950</v>
      </c>
      <c r="D15">
        <v>4900</v>
      </c>
      <c r="E15">
        <v>2695</v>
      </c>
      <c r="F15">
        <v>96255</v>
      </c>
    </row>
    <row r="16" spans="1:10">
      <c r="A16" t="s">
        <v>34</v>
      </c>
      <c r="B16">
        <v>46000</v>
      </c>
      <c r="D16">
        <v>4600</v>
      </c>
      <c r="E16">
        <v>2530</v>
      </c>
      <c r="F16">
        <v>48070</v>
      </c>
    </row>
  </sheetData>
  <dataConsolidate leftLabels="1" topLabels="1">
    <dataRefs count="2">
      <dataRef ref="A2:D7" sheet="Консол.Категории"/>
      <dataRef ref="F2:J8" sheet="Консол.Категории"/>
    </dataRefs>
  </dataConsolidate>
  <mergeCells count="2">
    <mergeCell ref="A1:D1"/>
    <mergeCell ref="F1:I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</vt:lpstr>
      <vt:lpstr>Свод_табл</vt:lpstr>
      <vt:lpstr>Консол</vt:lpstr>
      <vt:lpstr>Консол.Категории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2023-12-01T02:38:57Z</dcterms:modified>
</cp:coreProperties>
</file>