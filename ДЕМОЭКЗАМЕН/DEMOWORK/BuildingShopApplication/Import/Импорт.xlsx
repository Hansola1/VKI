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Data\homeworkFile\UPM-Paul-Muratova\DEMOWORK\BuildingShopApplication\Import\"/>
    </mc:Choice>
  </mc:AlternateContent>
  <xr:revisionPtr revIDLastSave="0" documentId="13_ncr:1_{336AB143-2598-49BF-81ED-9B0B7F11A7E3}" xr6:coauthVersionLast="47" xr6:coauthVersionMax="47" xr10:uidLastSave="{00000000-0000-0000-0000-000000000000}"/>
  <bookViews>
    <workbookView xWindow="22015" yWindow="-104" windowWidth="22325" windowHeight="11924" tabRatio="760" xr2:uid="{00000000-000D-0000-FFFF-FFFF00000000}"/>
  </bookViews>
  <sheets>
    <sheet name="User" sheetId="1" r:id="rId1"/>
    <sheet name="Role" sheetId="2" r:id="rId2"/>
    <sheet name="Order" sheetId="3" r:id="rId3"/>
    <sheet name="OrderProduct" sheetId="10" r:id="rId4"/>
    <sheet name="OrderStatus" sheetId="4" r:id="rId5"/>
    <sheet name="PickupAddress" sheetId="5" r:id="rId6"/>
    <sheet name="Product" sheetId="6" r:id="rId7"/>
    <sheet name="Supplier" sheetId="9" r:id="rId8"/>
    <sheet name="Manufacturer" sheetId="8" r:id="rId9"/>
    <sheet name="Category" sheetId="7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0" l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4" i="9"/>
  <c r="A5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3" i="9"/>
  <c r="A4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3" i="8"/>
  <c r="A3" i="7"/>
  <c r="A4" i="7" s="1"/>
  <c r="A5" i="7" s="1"/>
  <c r="A6" i="7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</calcChain>
</file>

<file path=xl/sharedStrings.xml><?xml version="1.0" encoding="utf-8"?>
<sst xmlns="http://schemas.openxmlformats.org/spreadsheetml/2006/main" count="335" uniqueCount="233">
  <si>
    <t>Администратор</t>
  </si>
  <si>
    <t>klh7pi4rcbtz@gmail.com</t>
  </si>
  <si>
    <t>2L6KZG</t>
  </si>
  <si>
    <t>gn0354mbiork@outlook.com</t>
  </si>
  <si>
    <t>uzWC67</t>
  </si>
  <si>
    <t>1o4l05k8dwpv@yahoo.com</t>
  </si>
  <si>
    <t>8ntwUp</t>
  </si>
  <si>
    <t>Менеджер</t>
  </si>
  <si>
    <t>hsqixl2vebuz@mail.com</t>
  </si>
  <si>
    <t>YOyhfR</t>
  </si>
  <si>
    <t>towkse0hf26b@outlook.com</t>
  </si>
  <si>
    <t>RSbvHv</t>
  </si>
  <si>
    <t>khx0ncdwz4uj@gmail.com</t>
  </si>
  <si>
    <t>rwVDh9</t>
  </si>
  <si>
    <t>Клиент</t>
  </si>
  <si>
    <t>01zji3wfuq7h@outlook.com</t>
  </si>
  <si>
    <t>LdNyos</t>
  </si>
  <si>
    <t>am65k18q7bwp@mail.com</t>
  </si>
  <si>
    <t>gynQMT</t>
  </si>
  <si>
    <t>wt9q8i6ypx47@outlook.com</t>
  </si>
  <si>
    <t>AtnDjr</t>
  </si>
  <si>
    <t>4o72gufv3xlz@tutanota.com</t>
  </si>
  <si>
    <t>JlFRCZ</t>
  </si>
  <si>
    <t>Id</t>
  </si>
  <si>
    <t>Login</t>
  </si>
  <si>
    <t>Password</t>
  </si>
  <si>
    <t>Name</t>
  </si>
  <si>
    <t xml:space="preserve">Новый </t>
  </si>
  <si>
    <t>Завершен</t>
  </si>
  <si>
    <t>ClientId</t>
  </si>
  <si>
    <t>PMEZMH</t>
  </si>
  <si>
    <t>Цемент</t>
  </si>
  <si>
    <t>М500</t>
  </si>
  <si>
    <t>Общестроительные материалы</t>
  </si>
  <si>
    <t>Цемент Евроцемент М500 Д0 ЦЕМ I 42,5 50 кг</t>
  </si>
  <si>
    <t>PMEZMH.jpg</t>
  </si>
  <si>
    <t>BPV4MM</t>
  </si>
  <si>
    <t>Пленка техническая</t>
  </si>
  <si>
    <t>Изостронг</t>
  </si>
  <si>
    <t>Пленка техническая полиэтиленовая Изостронг 60 мк 3 м рукав 1,5 м, пог.м</t>
  </si>
  <si>
    <t>BPV4MM.jpg</t>
  </si>
  <si>
    <t>JVL42J</t>
  </si>
  <si>
    <t>Пленка техническая полиэтиленовая Изостронг 100 мк 3 м рукав 1,5 м, пог.м</t>
  </si>
  <si>
    <t>JVL42J.jpg</t>
  </si>
  <si>
    <t>F895RB</t>
  </si>
  <si>
    <t>Песок строительный</t>
  </si>
  <si>
    <t>Knauf</t>
  </si>
  <si>
    <t>Песок строительный 50 кг</t>
  </si>
  <si>
    <t>F895RB.jpg</t>
  </si>
  <si>
    <t>3XBOTN</t>
  </si>
  <si>
    <t>Керамзит фракция</t>
  </si>
  <si>
    <t>MixMaster</t>
  </si>
  <si>
    <t>Керамзит фракция 10-20 мм 0,05 куб.м</t>
  </si>
  <si>
    <t>3XBOTN.jpg</t>
  </si>
  <si>
    <t>3L7RCZ</t>
  </si>
  <si>
    <t>Газобетон</t>
  </si>
  <si>
    <t>ЛСР</t>
  </si>
  <si>
    <t>Стеновые и фасадные материалы</t>
  </si>
  <si>
    <t>Газобетон ЛСР 100х250х625 мм D400</t>
  </si>
  <si>
    <t>3L7RCZ.jpg</t>
  </si>
  <si>
    <t>S72AM3</t>
  </si>
  <si>
    <t xml:space="preserve">Пазогребневая плита </t>
  </si>
  <si>
    <t>ВОЛМА</t>
  </si>
  <si>
    <t>Пазогребневая плита ВОЛМА Гидро 667х500х80 мм полнотелая</t>
  </si>
  <si>
    <t>S72AM3.jpg</t>
  </si>
  <si>
    <t>2G3280</t>
  </si>
  <si>
    <t>Угол наружный</t>
  </si>
  <si>
    <t>Vinylon</t>
  </si>
  <si>
    <t>Угол наружный Vinylon 3050 мм серо-голубой</t>
  </si>
  <si>
    <t>2G3280.jpg</t>
  </si>
  <si>
    <t>MIO8YV</t>
  </si>
  <si>
    <t>Кирпич</t>
  </si>
  <si>
    <t>Кирпич рядовой Боровичи полнотелый М150 250х120х65 мм 1NF</t>
  </si>
  <si>
    <t>MIO8YV.jpg</t>
  </si>
  <si>
    <t>UER2QD</t>
  </si>
  <si>
    <t>Скоба для пазогребневой плиты</t>
  </si>
  <si>
    <t>Скоба для пазогребневой плиты Knauf С1 120х100 мм</t>
  </si>
  <si>
    <t>UER2QD.jpg</t>
  </si>
  <si>
    <t>ZR70B4</t>
  </si>
  <si>
    <t xml:space="preserve">Павловский завод </t>
  </si>
  <si>
    <t>Кирпич рядовой силикатный Павловский завод полнотелый М200 250х120х65 мм 1NF</t>
  </si>
  <si>
    <t>LPDDM4</t>
  </si>
  <si>
    <t>Штукатурка гипсовая</t>
  </si>
  <si>
    <t>Сухие строительные смеси и гидроизоляция</t>
  </si>
  <si>
    <t>Штукатурка гипсовая Knauf Ротбанд 30 кг</t>
  </si>
  <si>
    <t>LQ48MW</t>
  </si>
  <si>
    <t>Weber</t>
  </si>
  <si>
    <t>Штукатурка гипсовая Knauf МП-75 машинная 30 кг</t>
  </si>
  <si>
    <t>O43COU</t>
  </si>
  <si>
    <t>Шпаклевка</t>
  </si>
  <si>
    <t>Шпаклевка полимерная Weber.vetonit LR + для сухих помещений белая 20 кг</t>
  </si>
  <si>
    <t>M26EXW</t>
  </si>
  <si>
    <t>Клей для плитки, керамогранита и камня</t>
  </si>
  <si>
    <t>Клей для плитки, керамогранита и камня Крепс Усиленный серый (класс С1) 25 кг</t>
  </si>
  <si>
    <t>K0YACK</t>
  </si>
  <si>
    <t>Смесь цементно-песчаная</t>
  </si>
  <si>
    <t>Смесь цементно-песчаная (ЦПС) 300 по ТУ MixMaster Универсал 25 кг</t>
  </si>
  <si>
    <t>ASPXSG</t>
  </si>
  <si>
    <t>Ровнитель</t>
  </si>
  <si>
    <t>Ровнитель (наливной пол) финишный Weber.vetonit 4100 самовыравнивающийся высокопрочный 20 кг</t>
  </si>
  <si>
    <t>ZKQ5FF</t>
  </si>
  <si>
    <t xml:space="preserve">Лезвие для ножа </t>
  </si>
  <si>
    <t>Hesler</t>
  </si>
  <si>
    <t>Ручной инструмент</t>
  </si>
  <si>
    <t>Лезвие для ножа Hesler 18 мм прямое (10 шт.)</t>
  </si>
  <si>
    <t>4WZEOT</t>
  </si>
  <si>
    <t>Armero</t>
  </si>
  <si>
    <t>Лезвие для ножа Armero 18 мм прямое (10 шт.)</t>
  </si>
  <si>
    <t>4JR1HN</t>
  </si>
  <si>
    <t>Шпатель</t>
  </si>
  <si>
    <t>Шпатель малярный 100 мм с пластиковой ручкой</t>
  </si>
  <si>
    <t>Z3XFSP</t>
  </si>
  <si>
    <t xml:space="preserve">Нож строительный </t>
  </si>
  <si>
    <t>Нож строительный Hesler 18 мм с ломающимся лезвием пластиковый корпус</t>
  </si>
  <si>
    <t>I6MH89</t>
  </si>
  <si>
    <t>Валик</t>
  </si>
  <si>
    <t>Wenzo Roma</t>
  </si>
  <si>
    <t>Валик Wenzo Roma полиакрил 250 мм ворс 18 мм для красок грунтов и антисептиков на водной основе с рукояткой</t>
  </si>
  <si>
    <t>83M5ME</t>
  </si>
  <si>
    <t>Кисть</t>
  </si>
  <si>
    <t>Кисть плоская смешанная щетина 100х12 мм для красок и антисептиков на водной основе</t>
  </si>
  <si>
    <t>61PGH3</t>
  </si>
  <si>
    <t>Очки защитные</t>
  </si>
  <si>
    <t>KILIMGRIN</t>
  </si>
  <si>
    <t>Защита лица, глаз, головы</t>
  </si>
  <si>
    <t>Очки защитные Delta Plus KILIMANDJARO (KILIMGRIN) открытые с прозрачными линзами</t>
  </si>
  <si>
    <t>GN6ICZ</t>
  </si>
  <si>
    <t xml:space="preserve">Каска защитная </t>
  </si>
  <si>
    <t>Исток</t>
  </si>
  <si>
    <t>Каска защитная Исток (КАС001О) оранжевая</t>
  </si>
  <si>
    <t>Z3LO0U</t>
  </si>
  <si>
    <t xml:space="preserve">Очки защитные </t>
  </si>
  <si>
    <t>RUIZ</t>
  </si>
  <si>
    <t>Очки защитные Delta Plus RUIZ (RUIZ1VI) закрытые с прозрачными линзами</t>
  </si>
  <si>
    <t>QHNOKR</t>
  </si>
  <si>
    <t>Маска защитная</t>
  </si>
  <si>
    <t>Маска защитная Исток (ЩИТ001) ударопрочная и термостойкая</t>
  </si>
  <si>
    <t>EQ6RKO</t>
  </si>
  <si>
    <t>Подшлемник</t>
  </si>
  <si>
    <t>Husqvarna</t>
  </si>
  <si>
    <t>Подшлемник для каски одноразовый</t>
  </si>
  <si>
    <t>81F1WG</t>
  </si>
  <si>
    <t>Каска защитная</t>
  </si>
  <si>
    <t>Delta</t>
  </si>
  <si>
    <t>Каска защитная Delta Plus BASEBALL DIAMOND V UP (DIAM5UPBCFLBS) белая</t>
  </si>
  <si>
    <t>0YGHZ7</t>
  </si>
  <si>
    <t>Очки защитные Husqvarna Clear (5449638-01) открытые с прозрачными линзами</t>
  </si>
  <si>
    <t>PickupPointId</t>
  </si>
  <si>
    <t>Code</t>
  </si>
  <si>
    <t>OrderStatusId</t>
  </si>
  <si>
    <t>Article</t>
  </si>
  <si>
    <t>Cost</t>
  </si>
  <si>
    <t>MaxDiscount</t>
  </si>
  <si>
    <t>CurrentDiscount</t>
  </si>
  <si>
    <t>StockQuantity</t>
  </si>
  <si>
    <t>Description</t>
  </si>
  <si>
    <t>Image</t>
  </si>
  <si>
    <t>OrderDate</t>
  </si>
  <si>
    <t>DeliveryDate</t>
  </si>
  <si>
    <t>CategoryId</t>
  </si>
  <si>
    <t>SupplierId</t>
  </si>
  <si>
    <t>ManufacturerId</t>
  </si>
  <si>
    <t>Quantity</t>
  </si>
  <si>
    <t>Неизвестный</t>
  </si>
  <si>
    <t>none</t>
  </si>
  <si>
    <t>City</t>
  </si>
  <si>
    <t>Street</t>
  </si>
  <si>
    <t xml:space="preserve"> г. Сыктывкар</t>
  </si>
  <si>
    <t xml:space="preserve"> ул. Чехова</t>
  </si>
  <si>
    <t xml:space="preserve"> г.Сыктывкар</t>
  </si>
  <si>
    <t>  ул. Степная</t>
  </si>
  <si>
    <t xml:space="preserve"> ул. Коммунистическая</t>
  </si>
  <si>
    <t xml:space="preserve"> ул. Солнечная</t>
  </si>
  <si>
    <t xml:space="preserve"> ул. Шоссейная</t>
  </si>
  <si>
    <t xml:space="preserve"> ул. Партизанская</t>
  </si>
  <si>
    <t xml:space="preserve"> ул. Победы</t>
  </si>
  <si>
    <t xml:space="preserve"> ул. Молодежная</t>
  </si>
  <si>
    <t xml:space="preserve"> ул. Новая</t>
  </si>
  <si>
    <t xml:space="preserve"> ул. Октябрьская</t>
  </si>
  <si>
    <t xml:space="preserve"> ул. Садовая</t>
  </si>
  <si>
    <t xml:space="preserve"> ул. Комсомольская</t>
  </si>
  <si>
    <t xml:space="preserve"> ул. Дзержинского</t>
  </si>
  <si>
    <t xml:space="preserve"> ул. Набережная</t>
  </si>
  <si>
    <t xml:space="preserve"> ул. Фрунзе</t>
  </si>
  <si>
    <t xml:space="preserve"> ул. Школьная</t>
  </si>
  <si>
    <t xml:space="preserve"> ул. 8 Марта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</si>
  <si>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</si>
  <si>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</si>
  <si>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</si>
  <si>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</si>
  <si>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Спортивная</t>
  </si>
  <si>
    <t xml:space="preserve"> ул. Гоголя</t>
  </si>
  <si>
    <t xml:space="preserve"> ул. Северная</t>
  </si>
  <si>
    <t xml:space="preserve"> ул. Вишневая</t>
  </si>
  <si>
    <t xml:space="preserve"> ул. Подгорная</t>
  </si>
  <si>
    <t xml:space="preserve"> ул. Полевая</t>
  </si>
  <si>
    <t xml:space="preserve"> ул. Некрасова</t>
  </si>
  <si>
    <t xml:space="preserve"> ул. Мичурина</t>
  </si>
  <si>
    <t>StreetNumber</t>
  </si>
  <si>
    <t>Addres</t>
  </si>
  <si>
    <t>ул. Клубная</t>
  </si>
  <si>
    <t>RoleId</t>
  </si>
  <si>
    <t>Басова</t>
  </si>
  <si>
    <t>Амина</t>
  </si>
  <si>
    <t>Кирилловна</t>
  </si>
  <si>
    <t>Михайлов</t>
  </si>
  <si>
    <t>Андрей</t>
  </si>
  <si>
    <t>Денисович</t>
  </si>
  <si>
    <t>Сидоров</t>
  </si>
  <si>
    <t>Егор</t>
  </si>
  <si>
    <t>Александрович</t>
  </si>
  <si>
    <t>Аксенова</t>
  </si>
  <si>
    <t>Ульяна</t>
  </si>
  <si>
    <t>Ивановна</t>
  </si>
  <si>
    <t>Васильева</t>
  </si>
  <si>
    <t>Камила</t>
  </si>
  <si>
    <t>Ильин</t>
  </si>
  <si>
    <t>Артём</t>
  </si>
  <si>
    <t>Родионович</t>
  </si>
  <si>
    <t>Василиса</t>
  </si>
  <si>
    <t>Фёдоровна</t>
  </si>
  <si>
    <t>Кудрявцева</t>
  </si>
  <si>
    <t>Матвеевна</t>
  </si>
  <si>
    <t>Кириллова</t>
  </si>
  <si>
    <t>Николь</t>
  </si>
  <si>
    <t>Святославовна</t>
  </si>
  <si>
    <t>Андреева</t>
  </si>
  <si>
    <t>Полина</t>
  </si>
  <si>
    <t>Артёмовна</t>
  </si>
  <si>
    <t>Surname</t>
  </si>
  <si>
    <t>Firstname</t>
  </si>
  <si>
    <t>OrderId</t>
  </si>
  <si>
    <t>ProductArticle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</si>
</sst>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vertical="center"/>
    </xf>
  </cellXfs>
  <cellStyles count="2">
    <cellStyle name="Обычный" xfId="0" builtinId="0"/>
    <cellStyle name="Обычный 2" xfId="1" xr:uid="{5DE98ABE-DC2F-4EA4-84A3-42C5A0AC3F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"/>
  <sheetViews>
    <sheetView tabSelected="1" workbookViewId="0">
      <selection activeCell="E6" sqref="E6"/>
    </sheetView>
  </sheetViews>
  <sheetFormatPr defaultColWidth="0" defaultRowHeight="14.4" zeroHeight="1" x14ac:dyDescent="0.3"/>
  <cols>
    <col min="1" max="1" width="8.796875" customWidth="1"/>
    <col min="2" max="2" width="18.3984375" bestFit="1" customWidth="1"/>
    <col min="3" max="3" width="35.69921875" bestFit="1" customWidth="1"/>
    <col min="4" max="4" width="27.296875" bestFit="1" customWidth="1"/>
    <col min="5" max="6" width="29.296875" customWidth="1"/>
    <col min="7" max="7" width="25.796875" customWidth="1"/>
    <col min="9" max="16383" width="8.796875" hidden="1"/>
    <col min="16384" max="16384" width="4.09765625" hidden="1"/>
  </cols>
  <sheetData>
    <row r="1" spans="1:7" x14ac:dyDescent="0.3">
      <c r="A1" t="s">
        <v>23</v>
      </c>
      <c r="B1" t="s">
        <v>201</v>
      </c>
      <c r="C1" t="s">
        <v>229</v>
      </c>
      <c r="D1" t="s">
        <v>26</v>
      </c>
      <c r="E1" t="s">
        <v>230</v>
      </c>
      <c r="F1" t="s">
        <v>25</v>
      </c>
      <c r="G1" t="s">
        <v>24</v>
      </c>
    </row>
    <row r="2" spans="1:7" x14ac:dyDescent="0.3">
      <c r="A2" s="3">
        <v>1</v>
      </c>
      <c r="B2" s="3">
        <v>1</v>
      </c>
      <c r="C2" s="4" t="s">
        <v>202</v>
      </c>
      <c r="D2" s="4" t="s">
        <v>203</v>
      </c>
      <c r="E2" s="4" t="s">
        <v>204</v>
      </c>
      <c r="F2" s="7" t="s">
        <v>2</v>
      </c>
      <c r="G2" s="4" t="s">
        <v>1</v>
      </c>
    </row>
    <row r="3" spans="1:7" x14ac:dyDescent="0.3">
      <c r="A3" s="3">
        <v>2</v>
      </c>
      <c r="B3" s="3">
        <v>1</v>
      </c>
      <c r="C3" s="4" t="s">
        <v>205</v>
      </c>
      <c r="D3" s="4" t="s">
        <v>206</v>
      </c>
      <c r="E3" s="4" t="s">
        <v>207</v>
      </c>
      <c r="F3" s="7" t="s">
        <v>4</v>
      </c>
      <c r="G3" s="4" t="s">
        <v>3</v>
      </c>
    </row>
    <row r="4" spans="1:7" x14ac:dyDescent="0.3">
      <c r="A4" s="3">
        <v>3</v>
      </c>
      <c r="B4" s="3">
        <v>1</v>
      </c>
      <c r="C4" s="4" t="s">
        <v>208</v>
      </c>
      <c r="D4" s="4" t="s">
        <v>209</v>
      </c>
      <c r="E4" s="4" t="s">
        <v>210</v>
      </c>
      <c r="F4" s="7" t="s">
        <v>6</v>
      </c>
      <c r="G4" s="4" t="s">
        <v>5</v>
      </c>
    </row>
    <row r="5" spans="1:7" x14ac:dyDescent="0.3">
      <c r="A5" s="3">
        <v>4</v>
      </c>
      <c r="B5" s="3">
        <v>2</v>
      </c>
      <c r="C5" s="4" t="s">
        <v>211</v>
      </c>
      <c r="D5" s="4" t="s">
        <v>212</v>
      </c>
      <c r="E5" s="4" t="s">
        <v>213</v>
      </c>
      <c r="F5" s="7" t="s">
        <v>9</v>
      </c>
      <c r="G5" s="4" t="s">
        <v>8</v>
      </c>
    </row>
    <row r="6" spans="1:7" x14ac:dyDescent="0.3">
      <c r="A6" s="3">
        <v>5</v>
      </c>
      <c r="B6" s="3">
        <v>2</v>
      </c>
      <c r="C6" s="4" t="s">
        <v>214</v>
      </c>
      <c r="D6" s="4" t="s">
        <v>215</v>
      </c>
      <c r="E6" s="4" t="s">
        <v>213</v>
      </c>
      <c r="F6" s="7" t="s">
        <v>11</v>
      </c>
      <c r="G6" s="4" t="s">
        <v>10</v>
      </c>
    </row>
    <row r="7" spans="1:7" x14ac:dyDescent="0.3">
      <c r="A7" s="3">
        <v>6</v>
      </c>
      <c r="B7" s="3">
        <v>2</v>
      </c>
      <c r="C7" s="4" t="s">
        <v>216</v>
      </c>
      <c r="D7" s="4" t="s">
        <v>217</v>
      </c>
      <c r="E7" s="4" t="s">
        <v>218</v>
      </c>
      <c r="F7" s="7" t="s">
        <v>13</v>
      </c>
      <c r="G7" s="4" t="s">
        <v>12</v>
      </c>
    </row>
    <row r="8" spans="1:7" x14ac:dyDescent="0.3">
      <c r="A8" s="3">
        <v>7</v>
      </c>
      <c r="B8" s="3">
        <v>3</v>
      </c>
      <c r="C8" s="4" t="s">
        <v>214</v>
      </c>
      <c r="D8" s="4" t="s">
        <v>219</v>
      </c>
      <c r="E8" s="4" t="s">
        <v>220</v>
      </c>
      <c r="F8" s="7" t="s">
        <v>16</v>
      </c>
      <c r="G8" s="4" t="s">
        <v>15</v>
      </c>
    </row>
    <row r="9" spans="1:7" x14ac:dyDescent="0.3">
      <c r="A9" s="3">
        <v>8</v>
      </c>
      <c r="B9" s="3">
        <v>3</v>
      </c>
      <c r="C9" s="4" t="s">
        <v>221</v>
      </c>
      <c r="D9" s="4" t="s">
        <v>219</v>
      </c>
      <c r="E9" s="4" t="s">
        <v>222</v>
      </c>
      <c r="F9" s="7" t="s">
        <v>18</v>
      </c>
      <c r="G9" s="4" t="s">
        <v>17</v>
      </c>
    </row>
    <row r="10" spans="1:7" x14ac:dyDescent="0.3">
      <c r="A10" s="3">
        <v>9</v>
      </c>
      <c r="B10" s="3">
        <v>3</v>
      </c>
      <c r="C10" s="4" t="s">
        <v>223</v>
      </c>
      <c r="D10" s="4" t="s">
        <v>224</v>
      </c>
      <c r="E10" s="4" t="s">
        <v>225</v>
      </c>
      <c r="F10" s="7" t="s">
        <v>20</v>
      </c>
      <c r="G10" s="4" t="s">
        <v>19</v>
      </c>
    </row>
    <row r="11" spans="1:7" x14ac:dyDescent="0.3">
      <c r="A11" s="3">
        <v>10</v>
      </c>
      <c r="B11" s="3">
        <v>3</v>
      </c>
      <c r="C11" s="4" t="s">
        <v>226</v>
      </c>
      <c r="D11" s="4" t="s">
        <v>227</v>
      </c>
      <c r="E11" s="4" t="s">
        <v>228</v>
      </c>
      <c r="F11" s="7" t="s">
        <v>22</v>
      </c>
      <c r="G11" s="4" t="s">
        <v>21</v>
      </c>
    </row>
    <row r="12" spans="1:7" x14ac:dyDescent="0.3">
      <c r="A12" s="3">
        <v>11</v>
      </c>
      <c r="B12" s="3">
        <v>3</v>
      </c>
      <c r="C12" s="4" t="s">
        <v>163</v>
      </c>
      <c r="D12" s="4" t="s">
        <v>163</v>
      </c>
      <c r="E12" s="4" t="s">
        <v>163</v>
      </c>
      <c r="F12" s="7" t="s">
        <v>164</v>
      </c>
      <c r="G12" s="4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AF4C-58D6-4605-AF73-A089F8C8229F}">
  <dimension ref="A1:B4"/>
  <sheetViews>
    <sheetView workbookViewId="0">
      <selection activeCell="A2" sqref="A2:A4"/>
    </sheetView>
  </sheetViews>
  <sheetFormatPr defaultColWidth="0" defaultRowHeight="14.4" zeroHeight="1" x14ac:dyDescent="0.3"/>
  <cols>
    <col min="1" max="1" width="8.796875" customWidth="1"/>
    <col min="2" max="2" width="15.3984375" bestFit="1" customWidth="1"/>
    <col min="3" max="16384" width="8.796875" hidden="1"/>
  </cols>
  <sheetData>
    <row r="1" spans="1:2" x14ac:dyDescent="0.3">
      <c r="A1" t="s">
        <v>23</v>
      </c>
      <c r="B1" t="s">
        <v>26</v>
      </c>
    </row>
    <row r="2" spans="1:2" x14ac:dyDescent="0.3">
      <c r="A2" s="3">
        <v>1</v>
      </c>
      <c r="B2" s="4" t="s">
        <v>0</v>
      </c>
    </row>
    <row r="3" spans="1:2" x14ac:dyDescent="0.3">
      <c r="A3" s="3">
        <v>2</v>
      </c>
      <c r="B3" s="4" t="s">
        <v>7</v>
      </c>
    </row>
    <row r="4" spans="1:2" x14ac:dyDescent="0.3">
      <c r="A4" s="3">
        <v>3</v>
      </c>
      <c r="B4" s="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A79A-6514-458F-B331-712764306706}">
  <dimension ref="A1:G11"/>
  <sheetViews>
    <sheetView workbookViewId="0">
      <selection activeCell="G10" sqref="G10"/>
    </sheetView>
  </sheetViews>
  <sheetFormatPr defaultColWidth="0" defaultRowHeight="14.4" zeroHeight="1" x14ac:dyDescent="0.3"/>
  <cols>
    <col min="1" max="1" width="5.3984375" bestFit="1" customWidth="1"/>
    <col min="2" max="2" width="17.796875" customWidth="1"/>
    <col min="3" max="3" width="14" bestFit="1" customWidth="1"/>
    <col min="4" max="4" width="15.3984375" bestFit="1" customWidth="1"/>
    <col min="5" max="5" width="9" bestFit="1" customWidth="1"/>
    <col min="6" max="6" width="14.8984375" customWidth="1"/>
    <col min="7" max="7" width="15.296875" bestFit="1" customWidth="1"/>
    <col min="8" max="16384" width="8.796875" hidden="1"/>
  </cols>
  <sheetData>
    <row r="1" spans="1:7" x14ac:dyDescent="0.3">
      <c r="A1" t="s">
        <v>23</v>
      </c>
      <c r="B1" t="s">
        <v>157</v>
      </c>
      <c r="C1" t="s">
        <v>158</v>
      </c>
      <c r="D1" t="s">
        <v>147</v>
      </c>
      <c r="E1" t="s">
        <v>29</v>
      </c>
      <c r="F1" t="s">
        <v>148</v>
      </c>
      <c r="G1" t="s">
        <v>149</v>
      </c>
    </row>
    <row r="2" spans="1:7" x14ac:dyDescent="0.3">
      <c r="A2" s="3">
        <v>1</v>
      </c>
      <c r="B2" s="1">
        <v>44696</v>
      </c>
      <c r="C2" s="1">
        <v>44702</v>
      </c>
      <c r="D2" s="3">
        <v>18</v>
      </c>
      <c r="E2" s="3">
        <v>11</v>
      </c>
      <c r="F2" s="3">
        <v>701</v>
      </c>
      <c r="G2" s="3">
        <v>1</v>
      </c>
    </row>
    <row r="3" spans="1:7" x14ac:dyDescent="0.3">
      <c r="A3" s="3">
        <v>2</v>
      </c>
      <c r="B3" s="1">
        <v>44697</v>
      </c>
      <c r="C3" s="1">
        <v>44703</v>
      </c>
      <c r="D3" s="3">
        <v>14</v>
      </c>
      <c r="E3" s="3">
        <v>11</v>
      </c>
      <c r="F3" s="3">
        <v>702</v>
      </c>
      <c r="G3" s="3">
        <v>1</v>
      </c>
    </row>
    <row r="4" spans="1:7" x14ac:dyDescent="0.3">
      <c r="A4" s="3">
        <v>3</v>
      </c>
      <c r="B4" s="1">
        <v>44698</v>
      </c>
      <c r="C4" s="1">
        <v>44704</v>
      </c>
      <c r="D4" s="3">
        <v>22</v>
      </c>
      <c r="E4" s="3">
        <v>9</v>
      </c>
      <c r="F4" s="3">
        <v>703</v>
      </c>
      <c r="G4" s="3">
        <v>2</v>
      </c>
    </row>
    <row r="5" spans="1:7" x14ac:dyDescent="0.3">
      <c r="A5" s="3">
        <v>4</v>
      </c>
      <c r="B5" s="1">
        <v>44698</v>
      </c>
      <c r="C5" s="1">
        <v>44704</v>
      </c>
      <c r="D5" s="3">
        <v>22</v>
      </c>
      <c r="E5" s="3">
        <v>11</v>
      </c>
      <c r="F5" s="3">
        <v>704</v>
      </c>
      <c r="G5" s="3">
        <v>1</v>
      </c>
    </row>
    <row r="6" spans="1:7" x14ac:dyDescent="0.3">
      <c r="A6" s="3">
        <v>5</v>
      </c>
      <c r="B6" s="1">
        <v>44700</v>
      </c>
      <c r="C6" s="1">
        <v>44706</v>
      </c>
      <c r="D6" s="3">
        <v>26</v>
      </c>
      <c r="E6" s="3">
        <v>8</v>
      </c>
      <c r="F6" s="3">
        <v>705</v>
      </c>
      <c r="G6" s="3">
        <v>2</v>
      </c>
    </row>
    <row r="7" spans="1:7" x14ac:dyDescent="0.3">
      <c r="A7" s="3">
        <v>6</v>
      </c>
      <c r="B7" s="1">
        <v>44701</v>
      </c>
      <c r="C7" s="1">
        <v>44707</v>
      </c>
      <c r="D7" s="3">
        <v>28</v>
      </c>
      <c r="E7" s="3">
        <v>11</v>
      </c>
      <c r="F7" s="3">
        <v>706</v>
      </c>
      <c r="G7" s="3">
        <v>1</v>
      </c>
    </row>
    <row r="8" spans="1:7" x14ac:dyDescent="0.3">
      <c r="A8" s="3">
        <v>7</v>
      </c>
      <c r="B8" s="1">
        <v>44703</v>
      </c>
      <c r="C8" s="1">
        <v>44709</v>
      </c>
      <c r="D8" s="3">
        <v>28</v>
      </c>
      <c r="E8" s="3">
        <v>10</v>
      </c>
      <c r="F8" s="3">
        <v>707</v>
      </c>
      <c r="G8" s="3">
        <v>2</v>
      </c>
    </row>
    <row r="9" spans="1:7" x14ac:dyDescent="0.3">
      <c r="A9" s="3">
        <v>8</v>
      </c>
      <c r="B9" s="1">
        <v>44703</v>
      </c>
      <c r="C9" s="1">
        <v>44709</v>
      </c>
      <c r="D9" s="3">
        <v>32</v>
      </c>
      <c r="E9" s="3">
        <v>11</v>
      </c>
      <c r="F9" s="3">
        <v>708</v>
      </c>
      <c r="G9" s="3">
        <v>1</v>
      </c>
    </row>
    <row r="10" spans="1:7" x14ac:dyDescent="0.3">
      <c r="A10" s="3">
        <v>9</v>
      </c>
      <c r="B10" s="1">
        <v>44704</v>
      </c>
      <c r="C10" s="1">
        <v>44710</v>
      </c>
      <c r="D10" s="3">
        <v>36</v>
      </c>
      <c r="E10" s="3">
        <v>11</v>
      </c>
      <c r="F10" s="3">
        <v>709</v>
      </c>
      <c r="G10" s="3">
        <v>1</v>
      </c>
    </row>
    <row r="11" spans="1:7" x14ac:dyDescent="0.3">
      <c r="A11" s="3">
        <v>10</v>
      </c>
      <c r="B11" s="1">
        <v>44705</v>
      </c>
      <c r="C11" s="1">
        <v>44711</v>
      </c>
      <c r="D11" s="3">
        <v>36</v>
      </c>
      <c r="E11" s="3">
        <v>7</v>
      </c>
      <c r="F11" s="3">
        <v>710</v>
      </c>
      <c r="G11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A4E1-441A-4F7F-AB85-050AF2F16D1A}">
  <dimension ref="A1:D21"/>
  <sheetViews>
    <sheetView workbookViewId="0">
      <selection activeCell="A3" sqref="A3:B21"/>
    </sheetView>
  </sheetViews>
  <sheetFormatPr defaultColWidth="0" defaultRowHeight="14.4" zeroHeight="1" x14ac:dyDescent="0.3"/>
  <cols>
    <col min="1" max="1" width="8.796875" customWidth="1"/>
    <col min="2" max="2" width="11.3984375" bestFit="1" customWidth="1"/>
    <col min="3" max="3" width="17.59765625" bestFit="1" customWidth="1"/>
    <col min="4" max="4" width="8.69921875" bestFit="1" customWidth="1"/>
    <col min="5" max="16384" width="8.796875" hidden="1"/>
  </cols>
  <sheetData>
    <row r="1" spans="1:4" x14ac:dyDescent="0.3">
      <c r="A1" t="s">
        <v>23</v>
      </c>
      <c r="B1" t="s">
        <v>231</v>
      </c>
      <c r="C1" t="s">
        <v>232</v>
      </c>
      <c r="D1" t="s">
        <v>162</v>
      </c>
    </row>
    <row r="2" spans="1:4" x14ac:dyDescent="0.3">
      <c r="A2">
        <v>1</v>
      </c>
      <c r="B2">
        <v>1</v>
      </c>
      <c r="C2" s="4" t="s">
        <v>30</v>
      </c>
      <c r="D2" s="3">
        <v>2</v>
      </c>
    </row>
    <row r="3" spans="1:4" x14ac:dyDescent="0.3">
      <c r="A3" s="3">
        <f>A2+1</f>
        <v>2</v>
      </c>
      <c r="B3" s="3">
        <v>1</v>
      </c>
      <c r="C3" s="4" t="s">
        <v>36</v>
      </c>
      <c r="D3" s="3">
        <v>2</v>
      </c>
    </row>
    <row r="4" spans="1:4" x14ac:dyDescent="0.3">
      <c r="A4" s="3">
        <f t="shared" ref="A4:A21" si="0">A3+1</f>
        <v>3</v>
      </c>
      <c r="B4" s="3">
        <v>2</v>
      </c>
      <c r="C4" s="4" t="s">
        <v>41</v>
      </c>
      <c r="D4" s="3">
        <v>15</v>
      </c>
    </row>
    <row r="5" spans="1:4" x14ac:dyDescent="0.3">
      <c r="A5" s="3">
        <f t="shared" si="0"/>
        <v>4</v>
      </c>
      <c r="B5" s="3">
        <v>2</v>
      </c>
      <c r="C5" s="4" t="s">
        <v>44</v>
      </c>
      <c r="D5" s="3">
        <v>15</v>
      </c>
    </row>
    <row r="6" spans="1:4" x14ac:dyDescent="0.3">
      <c r="A6" s="3">
        <f t="shared" si="0"/>
        <v>5</v>
      </c>
      <c r="B6" s="3">
        <v>3</v>
      </c>
      <c r="C6" s="4" t="s">
        <v>49</v>
      </c>
      <c r="D6" s="3">
        <v>13</v>
      </c>
    </row>
    <row r="7" spans="1:4" x14ac:dyDescent="0.3">
      <c r="A7" s="3">
        <f t="shared" si="0"/>
        <v>6</v>
      </c>
      <c r="B7" s="3">
        <v>3</v>
      </c>
      <c r="C7" s="4" t="s">
        <v>54</v>
      </c>
      <c r="D7" s="3">
        <v>17</v>
      </c>
    </row>
    <row r="8" spans="1:4" x14ac:dyDescent="0.3">
      <c r="A8" s="3">
        <f t="shared" si="0"/>
        <v>7</v>
      </c>
      <c r="B8" s="3">
        <v>4</v>
      </c>
      <c r="C8" s="4" t="s">
        <v>65</v>
      </c>
      <c r="D8" s="3">
        <v>40</v>
      </c>
    </row>
    <row r="9" spans="1:4" x14ac:dyDescent="0.3">
      <c r="A9" s="3">
        <f t="shared" si="0"/>
        <v>8</v>
      </c>
      <c r="B9" s="3">
        <v>4</v>
      </c>
      <c r="C9" s="4" t="s">
        <v>70</v>
      </c>
      <c r="D9" s="3">
        <v>100</v>
      </c>
    </row>
    <row r="10" spans="1:4" x14ac:dyDescent="0.3">
      <c r="A10" s="3">
        <f t="shared" si="0"/>
        <v>9</v>
      </c>
      <c r="B10" s="3">
        <v>5</v>
      </c>
      <c r="C10" s="4" t="s">
        <v>74</v>
      </c>
      <c r="D10" s="3">
        <v>100</v>
      </c>
    </row>
    <row r="11" spans="1:4" x14ac:dyDescent="0.3">
      <c r="A11" s="3">
        <f t="shared" si="0"/>
        <v>10</v>
      </c>
      <c r="B11" s="3">
        <v>5</v>
      </c>
      <c r="C11" s="4" t="s">
        <v>78</v>
      </c>
      <c r="D11" s="3">
        <v>100</v>
      </c>
    </row>
    <row r="12" spans="1:4" x14ac:dyDescent="0.3">
      <c r="A12" s="3">
        <f t="shared" si="0"/>
        <v>11</v>
      </c>
      <c r="B12" s="3">
        <v>6</v>
      </c>
      <c r="C12" s="4" t="s">
        <v>81</v>
      </c>
      <c r="D12" s="3">
        <v>20</v>
      </c>
    </row>
    <row r="13" spans="1:4" x14ac:dyDescent="0.3">
      <c r="A13" s="3">
        <f t="shared" si="0"/>
        <v>12</v>
      </c>
      <c r="B13" s="3">
        <v>6</v>
      </c>
      <c r="C13" s="4" t="s">
        <v>85</v>
      </c>
      <c r="D13" s="3">
        <v>20</v>
      </c>
    </row>
    <row r="14" spans="1:4" x14ac:dyDescent="0.3">
      <c r="A14" s="3">
        <f t="shared" si="0"/>
        <v>13</v>
      </c>
      <c r="B14" s="3">
        <v>7</v>
      </c>
      <c r="C14" s="4" t="s">
        <v>88</v>
      </c>
      <c r="D14" s="3">
        <v>50</v>
      </c>
    </row>
    <row r="15" spans="1:4" x14ac:dyDescent="0.3">
      <c r="A15" s="3">
        <f t="shared" si="0"/>
        <v>14</v>
      </c>
      <c r="B15" s="3">
        <v>7</v>
      </c>
      <c r="C15" s="4" t="s">
        <v>91</v>
      </c>
      <c r="D15" s="3">
        <v>50</v>
      </c>
    </row>
    <row r="16" spans="1:4" x14ac:dyDescent="0.3">
      <c r="A16" s="3">
        <f t="shared" si="0"/>
        <v>15</v>
      </c>
      <c r="B16" s="3">
        <v>8</v>
      </c>
      <c r="C16" s="4" t="s">
        <v>94</v>
      </c>
      <c r="D16" s="3">
        <v>40</v>
      </c>
    </row>
    <row r="17" spans="1:4" x14ac:dyDescent="0.3">
      <c r="A17" s="3">
        <f t="shared" si="0"/>
        <v>16</v>
      </c>
      <c r="B17" s="3">
        <v>8</v>
      </c>
      <c r="C17" s="4" t="s">
        <v>97</v>
      </c>
      <c r="D17" s="3">
        <v>40</v>
      </c>
    </row>
    <row r="18" spans="1:4" x14ac:dyDescent="0.3">
      <c r="A18" s="3">
        <f t="shared" si="0"/>
        <v>17</v>
      </c>
      <c r="B18" s="3">
        <v>9</v>
      </c>
      <c r="C18" s="4" t="s">
        <v>108</v>
      </c>
      <c r="D18" s="3">
        <v>10</v>
      </c>
    </row>
    <row r="19" spans="1:4" x14ac:dyDescent="0.3">
      <c r="A19" s="3">
        <f t="shared" si="0"/>
        <v>18</v>
      </c>
      <c r="B19" s="3">
        <v>9</v>
      </c>
      <c r="C19" s="4" t="s">
        <v>105</v>
      </c>
      <c r="D19" s="3">
        <v>10</v>
      </c>
    </row>
    <row r="20" spans="1:4" x14ac:dyDescent="0.3">
      <c r="A20" s="3">
        <f t="shared" si="0"/>
        <v>19</v>
      </c>
      <c r="B20" s="3">
        <v>10</v>
      </c>
      <c r="C20" s="4" t="s">
        <v>134</v>
      </c>
      <c r="D20" s="3">
        <v>1</v>
      </c>
    </row>
    <row r="21" spans="1:4" x14ac:dyDescent="0.3">
      <c r="A21" s="3">
        <f t="shared" si="0"/>
        <v>20</v>
      </c>
      <c r="B21" s="3">
        <v>10</v>
      </c>
      <c r="C21" s="4" t="s">
        <v>137</v>
      </c>
      <c r="D21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55F9-0ED1-4C1F-9B26-981CB5EB98CC}">
  <dimension ref="A1:B3"/>
  <sheetViews>
    <sheetView workbookViewId="0">
      <selection activeCell="B2" sqref="B2:B3"/>
    </sheetView>
  </sheetViews>
  <sheetFormatPr defaultColWidth="0" defaultRowHeight="14.4" zeroHeight="1" x14ac:dyDescent="0.3"/>
  <cols>
    <col min="1" max="2" width="8.796875" customWidth="1"/>
    <col min="3" max="16384" width="8.796875" hidden="1"/>
  </cols>
  <sheetData>
    <row r="1" spans="1:2" x14ac:dyDescent="0.3">
      <c r="A1" t="s">
        <v>23</v>
      </c>
      <c r="B1" t="s">
        <v>26</v>
      </c>
    </row>
    <row r="2" spans="1:2" x14ac:dyDescent="0.3">
      <c r="A2" s="3">
        <v>1</v>
      </c>
      <c r="B2" s="4" t="s">
        <v>27</v>
      </c>
    </row>
    <row r="3" spans="1:2" x14ac:dyDescent="0.3">
      <c r="A3" s="3">
        <v>2</v>
      </c>
      <c r="B3" s="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4D54-70F5-4241-8521-F7BFE2D1EF3E}">
  <dimension ref="A1:E37"/>
  <sheetViews>
    <sheetView workbookViewId="0">
      <selection activeCell="E2" sqref="E2:E37"/>
    </sheetView>
  </sheetViews>
  <sheetFormatPr defaultColWidth="0" defaultRowHeight="14.4" zeroHeight="1" x14ac:dyDescent="0.3"/>
  <cols>
    <col min="1" max="1" width="8.796875" customWidth="1"/>
    <col min="2" max="2" width="13.296875" customWidth="1"/>
    <col min="3" max="3" width="20.19921875" customWidth="1"/>
    <col min="4" max="4" width="16.69921875" customWidth="1"/>
    <col min="5" max="5" width="15" customWidth="1"/>
    <col min="6" max="16384" width="8.796875" hidden="1"/>
  </cols>
  <sheetData>
    <row r="1" spans="1:5" x14ac:dyDescent="0.3">
      <c r="A1" s="2" t="s">
        <v>23</v>
      </c>
      <c r="B1" s="2" t="s">
        <v>199</v>
      </c>
      <c r="C1" s="2" t="s">
        <v>165</v>
      </c>
      <c r="D1" s="2" t="s">
        <v>166</v>
      </c>
      <c r="E1" s="2" t="s">
        <v>198</v>
      </c>
    </row>
    <row r="2" spans="1:5" x14ac:dyDescent="0.3">
      <c r="A2" s="5">
        <v>1</v>
      </c>
      <c r="B2" s="6">
        <v>344288</v>
      </c>
      <c r="C2" s="6" t="s">
        <v>167</v>
      </c>
      <c r="D2" s="6" t="s">
        <v>168</v>
      </c>
      <c r="E2" s="6">
        <v>1</v>
      </c>
    </row>
    <row r="3" spans="1:5" x14ac:dyDescent="0.3">
      <c r="A3" s="5">
        <f>A2+1</f>
        <v>2</v>
      </c>
      <c r="B3" s="6">
        <v>614164</v>
      </c>
      <c r="C3" s="6" t="s">
        <v>169</v>
      </c>
      <c r="D3" s="6" t="s">
        <v>170</v>
      </c>
      <c r="E3" s="6">
        <v>30</v>
      </c>
    </row>
    <row r="4" spans="1:5" x14ac:dyDescent="0.3">
      <c r="A4" s="5">
        <f>A3+1</f>
        <v>3</v>
      </c>
      <c r="B4" s="6">
        <v>394242</v>
      </c>
      <c r="C4" s="6" t="s">
        <v>167</v>
      </c>
      <c r="D4" s="6" t="s">
        <v>171</v>
      </c>
      <c r="E4" s="6">
        <v>43</v>
      </c>
    </row>
    <row r="5" spans="1:5" x14ac:dyDescent="0.3">
      <c r="A5" s="5">
        <f t="shared" ref="A5:A37" si="0">A4+1</f>
        <v>4</v>
      </c>
      <c r="B5" s="6">
        <v>660540</v>
      </c>
      <c r="C5" s="6" t="s">
        <v>167</v>
      </c>
      <c r="D5" s="6" t="s">
        <v>172</v>
      </c>
      <c r="E5" s="6">
        <v>25</v>
      </c>
    </row>
    <row r="6" spans="1:5" x14ac:dyDescent="0.3">
      <c r="A6" s="5">
        <f t="shared" si="0"/>
        <v>5</v>
      </c>
      <c r="B6" s="6">
        <v>125837</v>
      </c>
      <c r="C6" s="6" t="s">
        <v>167</v>
      </c>
      <c r="D6" s="6" t="s">
        <v>173</v>
      </c>
      <c r="E6" s="6">
        <v>40</v>
      </c>
    </row>
    <row r="7" spans="1:5" x14ac:dyDescent="0.3">
      <c r="A7" s="5">
        <f t="shared" si="0"/>
        <v>6</v>
      </c>
      <c r="B7" s="6">
        <v>125703</v>
      </c>
      <c r="C7" s="6" t="s">
        <v>167</v>
      </c>
      <c r="D7" s="6" t="s">
        <v>174</v>
      </c>
      <c r="E7" s="6">
        <v>49</v>
      </c>
    </row>
    <row r="8" spans="1:5" x14ac:dyDescent="0.3">
      <c r="A8" s="5">
        <f t="shared" si="0"/>
        <v>7</v>
      </c>
      <c r="B8" s="6">
        <v>625283</v>
      </c>
      <c r="C8" s="6" t="s">
        <v>167</v>
      </c>
      <c r="D8" s="6" t="s">
        <v>175</v>
      </c>
      <c r="E8" s="6">
        <v>46</v>
      </c>
    </row>
    <row r="9" spans="1:5" x14ac:dyDescent="0.3">
      <c r="A9" s="5">
        <f t="shared" si="0"/>
        <v>8</v>
      </c>
      <c r="B9" s="6">
        <v>614611</v>
      </c>
      <c r="C9" s="6" t="s">
        <v>167</v>
      </c>
      <c r="D9" s="6" t="s">
        <v>176</v>
      </c>
      <c r="E9" s="6">
        <v>50</v>
      </c>
    </row>
    <row r="10" spans="1:5" x14ac:dyDescent="0.3">
      <c r="A10" s="5">
        <f t="shared" si="0"/>
        <v>9</v>
      </c>
      <c r="B10" s="6">
        <v>454311</v>
      </c>
      <c r="C10" s="6" t="s">
        <v>169</v>
      </c>
      <c r="D10" s="6" t="s">
        <v>177</v>
      </c>
      <c r="E10" s="6">
        <v>19</v>
      </c>
    </row>
    <row r="11" spans="1:5" x14ac:dyDescent="0.3">
      <c r="A11" s="5">
        <f t="shared" si="0"/>
        <v>10</v>
      </c>
      <c r="B11" s="6">
        <v>660007</v>
      </c>
      <c r="C11" s="6" t="s">
        <v>169</v>
      </c>
      <c r="D11" s="6" t="s">
        <v>178</v>
      </c>
      <c r="E11" s="6">
        <v>19</v>
      </c>
    </row>
    <row r="12" spans="1:5" x14ac:dyDescent="0.3">
      <c r="A12" s="5">
        <f t="shared" si="0"/>
        <v>11</v>
      </c>
      <c r="B12" s="6">
        <v>603036</v>
      </c>
      <c r="C12" s="6" t="s">
        <v>167</v>
      </c>
      <c r="D12" s="6" t="s">
        <v>179</v>
      </c>
      <c r="E12" s="6">
        <v>4</v>
      </c>
    </row>
    <row r="13" spans="1:5" x14ac:dyDescent="0.3">
      <c r="A13" s="5">
        <f t="shared" si="0"/>
        <v>12</v>
      </c>
      <c r="B13" s="6">
        <v>450983</v>
      </c>
      <c r="C13" s="6" t="s">
        <v>169</v>
      </c>
      <c r="D13" s="6" t="s">
        <v>180</v>
      </c>
      <c r="E13" s="6">
        <v>26</v>
      </c>
    </row>
    <row r="14" spans="1:5" x14ac:dyDescent="0.3">
      <c r="A14" s="5">
        <f t="shared" si="0"/>
        <v>13</v>
      </c>
      <c r="B14" s="6">
        <v>394782</v>
      </c>
      <c r="C14" s="6" t="s">
        <v>167</v>
      </c>
      <c r="D14" s="6" t="s">
        <v>168</v>
      </c>
      <c r="E14" s="6">
        <v>3</v>
      </c>
    </row>
    <row r="15" spans="1:5" x14ac:dyDescent="0.3">
      <c r="A15" s="5">
        <f t="shared" si="0"/>
        <v>14</v>
      </c>
      <c r="B15" s="6">
        <v>603002</v>
      </c>
      <c r="C15" s="6" t="s">
        <v>167</v>
      </c>
      <c r="D15" s="6" t="s">
        <v>181</v>
      </c>
      <c r="E15" s="6">
        <v>28</v>
      </c>
    </row>
    <row r="16" spans="1:5" x14ac:dyDescent="0.3">
      <c r="A16" s="5">
        <f t="shared" si="0"/>
        <v>15</v>
      </c>
      <c r="B16" s="6">
        <v>450558</v>
      </c>
      <c r="C16" s="6" t="s">
        <v>167</v>
      </c>
      <c r="D16" s="6" t="s">
        <v>182</v>
      </c>
      <c r="E16" s="6">
        <v>30</v>
      </c>
    </row>
    <row r="17" spans="1:5" x14ac:dyDescent="0.3">
      <c r="A17" s="5">
        <f t="shared" si="0"/>
        <v>16</v>
      </c>
      <c r="B17" s="6">
        <v>394060</v>
      </c>
      <c r="C17" s="6" t="s">
        <v>169</v>
      </c>
      <c r="D17" s="6" t="s">
        <v>183</v>
      </c>
      <c r="E17" s="6">
        <v>43</v>
      </c>
    </row>
    <row r="18" spans="1:5" x14ac:dyDescent="0.3">
      <c r="A18" s="5">
        <f t="shared" si="0"/>
        <v>17</v>
      </c>
      <c r="B18" s="6">
        <v>410661</v>
      </c>
      <c r="C18" s="6" t="s">
        <v>167</v>
      </c>
      <c r="D18" s="6" t="s">
        <v>184</v>
      </c>
      <c r="E18" s="6">
        <v>50</v>
      </c>
    </row>
    <row r="19" spans="1:5" x14ac:dyDescent="0.3">
      <c r="A19" s="5">
        <f t="shared" si="0"/>
        <v>18</v>
      </c>
      <c r="B19" s="6">
        <v>625590</v>
      </c>
      <c r="C19" s="6" t="s">
        <v>167</v>
      </c>
      <c r="D19" s="6" t="s">
        <v>171</v>
      </c>
      <c r="E19" s="6">
        <v>20</v>
      </c>
    </row>
    <row r="20" spans="1:5" x14ac:dyDescent="0.3">
      <c r="A20" s="5">
        <f t="shared" si="0"/>
        <v>19</v>
      </c>
      <c r="B20" s="6">
        <v>625683</v>
      </c>
      <c r="C20" s="6" t="s">
        <v>167</v>
      </c>
      <c r="D20" s="6" t="s">
        <v>185</v>
      </c>
      <c r="E20" s="6"/>
    </row>
    <row r="21" spans="1:5" x14ac:dyDescent="0.3">
      <c r="A21" s="5">
        <f t="shared" si="0"/>
        <v>20</v>
      </c>
      <c r="B21" s="6">
        <v>400562</v>
      </c>
      <c r="C21" s="6" t="s">
        <v>167</v>
      </c>
      <c r="D21" s="6" t="s">
        <v>186</v>
      </c>
      <c r="E21" s="6">
        <v>32</v>
      </c>
    </row>
    <row r="22" spans="1:5" x14ac:dyDescent="0.3">
      <c r="A22" s="5">
        <f t="shared" si="0"/>
        <v>21</v>
      </c>
      <c r="B22" s="6">
        <v>614510</v>
      </c>
      <c r="C22" s="6" t="s">
        <v>167</v>
      </c>
      <c r="D22" s="6" t="s">
        <v>187</v>
      </c>
      <c r="E22" s="6">
        <v>47</v>
      </c>
    </row>
    <row r="23" spans="1:5" x14ac:dyDescent="0.3">
      <c r="A23" s="5">
        <f t="shared" si="0"/>
        <v>22</v>
      </c>
      <c r="B23" s="6">
        <v>410542</v>
      </c>
      <c r="C23" s="6" t="s">
        <v>167</v>
      </c>
      <c r="D23" s="6" t="s">
        <v>188</v>
      </c>
      <c r="E23" s="6">
        <v>46</v>
      </c>
    </row>
    <row r="24" spans="1:5" x14ac:dyDescent="0.3">
      <c r="A24" s="5">
        <f t="shared" si="0"/>
        <v>23</v>
      </c>
      <c r="B24" s="6">
        <v>620839</v>
      </c>
      <c r="C24" s="6" t="s">
        <v>167</v>
      </c>
      <c r="D24" s="6" t="s">
        <v>189</v>
      </c>
      <c r="E24" s="6">
        <v>8</v>
      </c>
    </row>
    <row r="25" spans="1:5" x14ac:dyDescent="0.3">
      <c r="A25" s="5">
        <f t="shared" si="0"/>
        <v>24</v>
      </c>
      <c r="B25" s="6">
        <v>443890</v>
      </c>
      <c r="C25" s="6" t="s">
        <v>167</v>
      </c>
      <c r="D25" s="6" t="s">
        <v>171</v>
      </c>
      <c r="E25" s="6">
        <v>1</v>
      </c>
    </row>
    <row r="26" spans="1:5" x14ac:dyDescent="0.3">
      <c r="A26" s="5">
        <f t="shared" si="0"/>
        <v>25</v>
      </c>
      <c r="B26" s="6">
        <v>603379</v>
      </c>
      <c r="C26" s="6" t="s">
        <v>167</v>
      </c>
      <c r="D26" s="6" t="s">
        <v>190</v>
      </c>
      <c r="E26" s="6">
        <v>46</v>
      </c>
    </row>
    <row r="27" spans="1:5" x14ac:dyDescent="0.3">
      <c r="A27" s="5">
        <f t="shared" si="0"/>
        <v>26</v>
      </c>
      <c r="B27" s="6">
        <v>603721</v>
      </c>
      <c r="C27" s="6" t="s">
        <v>167</v>
      </c>
      <c r="D27" s="6" t="s">
        <v>191</v>
      </c>
      <c r="E27" s="6">
        <v>41</v>
      </c>
    </row>
    <row r="28" spans="1:5" x14ac:dyDescent="0.3">
      <c r="A28" s="5">
        <f t="shared" si="0"/>
        <v>27</v>
      </c>
      <c r="B28" s="6">
        <v>410172</v>
      </c>
      <c r="C28" s="6" t="s">
        <v>167</v>
      </c>
      <c r="D28" s="6" t="s">
        <v>192</v>
      </c>
      <c r="E28" s="6">
        <v>13</v>
      </c>
    </row>
    <row r="29" spans="1:5" x14ac:dyDescent="0.3">
      <c r="A29" s="5">
        <f t="shared" si="0"/>
        <v>28</v>
      </c>
      <c r="B29" s="6">
        <v>420151</v>
      </c>
      <c r="C29" s="6" t="s">
        <v>167</v>
      </c>
      <c r="D29" s="6" t="s">
        <v>193</v>
      </c>
      <c r="E29" s="6">
        <v>32</v>
      </c>
    </row>
    <row r="30" spans="1:5" x14ac:dyDescent="0.3">
      <c r="A30" s="5">
        <f t="shared" si="0"/>
        <v>29</v>
      </c>
      <c r="B30" s="6">
        <v>125061</v>
      </c>
      <c r="C30" s="6" t="s">
        <v>167</v>
      </c>
      <c r="D30" s="6" t="s">
        <v>194</v>
      </c>
      <c r="E30" s="6">
        <v>8</v>
      </c>
    </row>
    <row r="31" spans="1:5" x14ac:dyDescent="0.3">
      <c r="A31" s="5">
        <f t="shared" si="0"/>
        <v>30</v>
      </c>
      <c r="B31" s="6">
        <v>630370</v>
      </c>
      <c r="C31" s="6" t="s">
        <v>167</v>
      </c>
      <c r="D31" s="6" t="s">
        <v>173</v>
      </c>
      <c r="E31" s="6">
        <v>24</v>
      </c>
    </row>
    <row r="32" spans="1:5" x14ac:dyDescent="0.3">
      <c r="A32" s="5">
        <f t="shared" si="0"/>
        <v>31</v>
      </c>
      <c r="B32" s="6">
        <v>614753</v>
      </c>
      <c r="C32" s="6" t="s">
        <v>167</v>
      </c>
      <c r="D32" s="6" t="s">
        <v>195</v>
      </c>
      <c r="E32" s="6">
        <v>35</v>
      </c>
    </row>
    <row r="33" spans="1:5" x14ac:dyDescent="0.3">
      <c r="A33" s="5">
        <f t="shared" si="0"/>
        <v>32</v>
      </c>
      <c r="B33" s="6">
        <v>426030</v>
      </c>
      <c r="C33" s="6" t="s">
        <v>167</v>
      </c>
      <c r="D33" s="6" t="s">
        <v>187</v>
      </c>
      <c r="E33" s="6">
        <v>44</v>
      </c>
    </row>
    <row r="34" spans="1:5" x14ac:dyDescent="0.3">
      <c r="A34" s="5">
        <f t="shared" si="0"/>
        <v>33</v>
      </c>
      <c r="B34" s="6">
        <v>450375</v>
      </c>
      <c r="C34" s="6" t="s">
        <v>167</v>
      </c>
      <c r="D34" s="6" t="s">
        <v>200</v>
      </c>
      <c r="E34" s="6">
        <v>44</v>
      </c>
    </row>
    <row r="35" spans="1:5" x14ac:dyDescent="0.3">
      <c r="A35" s="5">
        <f t="shared" si="0"/>
        <v>34</v>
      </c>
      <c r="B35" s="6">
        <v>625560</v>
      </c>
      <c r="C35" s="6" t="s">
        <v>167</v>
      </c>
      <c r="D35" s="6" t="s">
        <v>196</v>
      </c>
      <c r="E35" s="6">
        <v>12</v>
      </c>
    </row>
    <row r="36" spans="1:5" x14ac:dyDescent="0.3">
      <c r="A36" s="5">
        <f t="shared" si="0"/>
        <v>35</v>
      </c>
      <c r="B36" s="6">
        <v>630201</v>
      </c>
      <c r="C36" s="6" t="s">
        <v>167</v>
      </c>
      <c r="D36" s="6" t="s">
        <v>180</v>
      </c>
      <c r="E36" s="6">
        <v>17</v>
      </c>
    </row>
    <row r="37" spans="1:5" x14ac:dyDescent="0.3">
      <c r="A37" s="5">
        <f t="shared" si="0"/>
        <v>36</v>
      </c>
      <c r="B37" s="6">
        <v>190949</v>
      </c>
      <c r="C37" s="6" t="s">
        <v>167</v>
      </c>
      <c r="D37" s="6" t="s">
        <v>197</v>
      </c>
      <c r="E37" s="6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DE99-A9C7-4DF2-93D3-DBBB3503053C}">
  <dimension ref="A1:K31"/>
  <sheetViews>
    <sheetView topLeftCell="I1" workbookViewId="0">
      <selection activeCell="J2" sqref="J2:K31"/>
    </sheetView>
  </sheetViews>
  <sheetFormatPr defaultColWidth="0" defaultRowHeight="14.4" zeroHeight="1" x14ac:dyDescent="0.3"/>
  <cols>
    <col min="1" max="1" width="9" bestFit="1" customWidth="1"/>
    <col min="2" max="2" width="39.59765625" bestFit="1" customWidth="1"/>
    <col min="3" max="3" width="10.59765625" bestFit="1" customWidth="1"/>
    <col min="4" max="4" width="12.3984375" bestFit="1" customWidth="1"/>
    <col min="5" max="6" width="18" bestFit="1" customWidth="1"/>
    <col min="7" max="7" width="17" bestFit="1" customWidth="1"/>
    <col min="8" max="8" width="20.3984375" bestFit="1" customWidth="1"/>
    <col min="9" max="9" width="16.69921875" bestFit="1" customWidth="1"/>
    <col min="10" max="10" width="109.09765625" bestFit="1" customWidth="1"/>
    <col min="11" max="11" width="28.59765625" customWidth="1"/>
    <col min="12" max="16384" width="8.796875" hidden="1"/>
  </cols>
  <sheetData>
    <row r="1" spans="1:11" x14ac:dyDescent="0.3">
      <c r="A1" s="2" t="s">
        <v>150</v>
      </c>
      <c r="B1" s="2" t="s">
        <v>26</v>
      </c>
      <c r="C1" s="2" t="s">
        <v>151</v>
      </c>
      <c r="D1" s="2" t="s">
        <v>152</v>
      </c>
      <c r="E1" s="2" t="s">
        <v>161</v>
      </c>
      <c r="F1" s="2" t="s">
        <v>160</v>
      </c>
      <c r="G1" s="2" t="s">
        <v>159</v>
      </c>
      <c r="H1" s="2" t="s">
        <v>153</v>
      </c>
      <c r="I1" s="2" t="s">
        <v>154</v>
      </c>
      <c r="J1" s="2" t="s">
        <v>155</v>
      </c>
      <c r="K1" s="2" t="s">
        <v>156</v>
      </c>
    </row>
    <row r="2" spans="1:11" x14ac:dyDescent="0.3">
      <c r="A2" s="6" t="s">
        <v>30</v>
      </c>
      <c r="B2" s="6" t="s">
        <v>31</v>
      </c>
      <c r="C2" s="5">
        <v>440</v>
      </c>
      <c r="D2" s="5">
        <v>10</v>
      </c>
      <c r="E2" s="5">
        <v>1</v>
      </c>
      <c r="F2" s="5">
        <v>1</v>
      </c>
      <c r="G2" s="5">
        <v>1</v>
      </c>
      <c r="H2" s="5">
        <v>8</v>
      </c>
      <c r="I2" s="5">
        <v>34</v>
      </c>
      <c r="J2" s="6" t="s">
        <v>34</v>
      </c>
      <c r="K2" s="6" t="s">
        <v>35</v>
      </c>
    </row>
    <row r="3" spans="1:11" x14ac:dyDescent="0.3">
      <c r="A3" s="6" t="s">
        <v>36</v>
      </c>
      <c r="B3" s="6" t="s">
        <v>37</v>
      </c>
      <c r="C3" s="5">
        <v>8</v>
      </c>
      <c r="D3" s="5">
        <v>13</v>
      </c>
      <c r="E3" s="5">
        <v>2</v>
      </c>
      <c r="F3" s="5">
        <v>2</v>
      </c>
      <c r="G3" s="5">
        <v>1</v>
      </c>
      <c r="H3" s="5">
        <v>8</v>
      </c>
      <c r="I3" s="5">
        <v>2</v>
      </c>
      <c r="J3" s="6" t="s">
        <v>39</v>
      </c>
      <c r="K3" s="6" t="s">
        <v>40</v>
      </c>
    </row>
    <row r="4" spans="1:11" x14ac:dyDescent="0.3">
      <c r="A4" s="6" t="s">
        <v>41</v>
      </c>
      <c r="B4" s="6" t="s">
        <v>37</v>
      </c>
      <c r="C4" s="5">
        <v>13</v>
      </c>
      <c r="D4" s="5">
        <v>1</v>
      </c>
      <c r="E4" s="5">
        <v>2</v>
      </c>
      <c r="F4" s="5">
        <v>2</v>
      </c>
      <c r="G4" s="5">
        <v>1</v>
      </c>
      <c r="H4" s="5">
        <v>4</v>
      </c>
      <c r="I4" s="5">
        <v>34</v>
      </c>
      <c r="J4" s="6" t="s">
        <v>42</v>
      </c>
      <c r="K4" s="6" t="s">
        <v>43</v>
      </c>
    </row>
    <row r="5" spans="1:11" x14ac:dyDescent="0.3">
      <c r="A5" s="6" t="s">
        <v>44</v>
      </c>
      <c r="B5" s="6" t="s">
        <v>45</v>
      </c>
      <c r="C5" s="5">
        <v>102</v>
      </c>
      <c r="D5" s="5">
        <v>17</v>
      </c>
      <c r="E5" s="5">
        <v>3</v>
      </c>
      <c r="F5" s="5">
        <v>3</v>
      </c>
      <c r="G5" s="5">
        <v>1</v>
      </c>
      <c r="H5" s="5">
        <v>6</v>
      </c>
      <c r="I5" s="5">
        <v>7</v>
      </c>
      <c r="J5" s="6" t="s">
        <v>47</v>
      </c>
      <c r="K5" s="6" t="s">
        <v>48</v>
      </c>
    </row>
    <row r="6" spans="1:11" x14ac:dyDescent="0.3">
      <c r="A6" s="6" t="s">
        <v>49</v>
      </c>
      <c r="B6" s="6" t="s">
        <v>50</v>
      </c>
      <c r="C6" s="5">
        <v>110</v>
      </c>
      <c r="D6" s="5">
        <v>14</v>
      </c>
      <c r="E6" s="5">
        <v>4</v>
      </c>
      <c r="F6" s="5">
        <v>4</v>
      </c>
      <c r="G6" s="5">
        <v>1</v>
      </c>
      <c r="H6" s="5">
        <v>5</v>
      </c>
      <c r="I6" s="5">
        <v>21</v>
      </c>
      <c r="J6" s="6" t="s">
        <v>52</v>
      </c>
      <c r="K6" s="6" t="s">
        <v>53</v>
      </c>
    </row>
    <row r="7" spans="1:11" x14ac:dyDescent="0.3">
      <c r="A7" s="6" t="s">
        <v>54</v>
      </c>
      <c r="B7" s="6" t="s">
        <v>55</v>
      </c>
      <c r="C7" s="5">
        <v>7400</v>
      </c>
      <c r="D7" s="5">
        <v>7</v>
      </c>
      <c r="E7" s="5">
        <v>5</v>
      </c>
      <c r="F7" s="5">
        <v>5</v>
      </c>
      <c r="G7" s="5">
        <v>2</v>
      </c>
      <c r="H7" s="5">
        <v>2</v>
      </c>
      <c r="I7" s="5">
        <v>20</v>
      </c>
      <c r="J7" s="6" t="s">
        <v>58</v>
      </c>
      <c r="K7" s="6" t="s">
        <v>59</v>
      </c>
    </row>
    <row r="8" spans="1:11" x14ac:dyDescent="0.3">
      <c r="A8" s="6" t="s">
        <v>60</v>
      </c>
      <c r="B8" s="6" t="s">
        <v>61</v>
      </c>
      <c r="C8" s="5">
        <v>500</v>
      </c>
      <c r="D8" s="5">
        <v>9</v>
      </c>
      <c r="E8" s="5">
        <v>6</v>
      </c>
      <c r="F8" s="5">
        <v>6</v>
      </c>
      <c r="G8" s="5">
        <v>2</v>
      </c>
      <c r="H8" s="5">
        <v>5</v>
      </c>
      <c r="I8" s="5">
        <v>35</v>
      </c>
      <c r="J8" s="6" t="s">
        <v>63</v>
      </c>
      <c r="K8" s="6" t="s">
        <v>64</v>
      </c>
    </row>
    <row r="9" spans="1:11" x14ac:dyDescent="0.3">
      <c r="A9" s="6" t="s">
        <v>65</v>
      </c>
      <c r="B9" s="6" t="s">
        <v>66</v>
      </c>
      <c r="C9" s="5">
        <v>795</v>
      </c>
      <c r="D9" s="5">
        <v>16</v>
      </c>
      <c r="E9" s="5">
        <v>7</v>
      </c>
      <c r="F9" s="5">
        <v>7</v>
      </c>
      <c r="G9" s="5">
        <v>2</v>
      </c>
      <c r="H9" s="5">
        <v>9</v>
      </c>
      <c r="I9" s="5">
        <v>20</v>
      </c>
      <c r="J9" s="6" t="s">
        <v>68</v>
      </c>
      <c r="K9" s="6" t="s">
        <v>69</v>
      </c>
    </row>
    <row r="10" spans="1:11" x14ac:dyDescent="0.3">
      <c r="A10" s="6" t="s">
        <v>70</v>
      </c>
      <c r="B10" s="6" t="s">
        <v>71</v>
      </c>
      <c r="C10" s="5">
        <v>30</v>
      </c>
      <c r="D10" s="5">
        <v>9</v>
      </c>
      <c r="E10" s="5">
        <v>6</v>
      </c>
      <c r="F10" s="5">
        <v>6</v>
      </c>
      <c r="G10" s="5">
        <v>2</v>
      </c>
      <c r="H10" s="5">
        <v>9</v>
      </c>
      <c r="I10" s="5">
        <v>31</v>
      </c>
      <c r="J10" s="6" t="s">
        <v>72</v>
      </c>
      <c r="K10" s="6" t="s">
        <v>73</v>
      </c>
    </row>
    <row r="11" spans="1:11" x14ac:dyDescent="0.3">
      <c r="A11" s="6" t="s">
        <v>74</v>
      </c>
      <c r="B11" s="6" t="s">
        <v>75</v>
      </c>
      <c r="C11" s="5">
        <v>25</v>
      </c>
      <c r="D11" s="5">
        <v>20</v>
      </c>
      <c r="E11" s="5">
        <v>3</v>
      </c>
      <c r="F11" s="5">
        <v>3</v>
      </c>
      <c r="G11" s="5">
        <v>2</v>
      </c>
      <c r="H11" s="5">
        <v>8</v>
      </c>
      <c r="I11" s="5">
        <v>27</v>
      </c>
      <c r="J11" s="6" t="s">
        <v>76</v>
      </c>
      <c r="K11" s="6" t="s">
        <v>77</v>
      </c>
    </row>
    <row r="12" spans="1:11" x14ac:dyDescent="0.3">
      <c r="A12" s="6" t="s">
        <v>78</v>
      </c>
      <c r="B12" s="6" t="s">
        <v>71</v>
      </c>
      <c r="C12" s="5">
        <v>16</v>
      </c>
      <c r="D12" s="5">
        <v>3</v>
      </c>
      <c r="E12" s="5">
        <v>8</v>
      </c>
      <c r="F12" s="5">
        <v>8</v>
      </c>
      <c r="G12" s="5">
        <v>2</v>
      </c>
      <c r="H12" s="5">
        <v>3</v>
      </c>
      <c r="I12" s="5">
        <v>0</v>
      </c>
      <c r="J12" s="6" t="s">
        <v>80</v>
      </c>
      <c r="K12" s="6"/>
    </row>
    <row r="13" spans="1:11" x14ac:dyDescent="0.3">
      <c r="A13" s="6" t="s">
        <v>81</v>
      </c>
      <c r="B13" s="6" t="s">
        <v>82</v>
      </c>
      <c r="C13" s="5">
        <v>500</v>
      </c>
      <c r="D13" s="5">
        <v>17</v>
      </c>
      <c r="E13" s="5">
        <v>3</v>
      </c>
      <c r="F13" s="5">
        <v>3</v>
      </c>
      <c r="G13" s="5">
        <v>3</v>
      </c>
      <c r="H13" s="5">
        <v>6</v>
      </c>
      <c r="I13" s="5">
        <v>38</v>
      </c>
      <c r="J13" s="6" t="s">
        <v>84</v>
      </c>
      <c r="K13" s="6"/>
    </row>
    <row r="14" spans="1:11" x14ac:dyDescent="0.3">
      <c r="A14" s="6" t="s">
        <v>85</v>
      </c>
      <c r="B14" s="6" t="s">
        <v>82</v>
      </c>
      <c r="C14" s="5">
        <v>462</v>
      </c>
      <c r="D14" s="5">
        <v>16</v>
      </c>
      <c r="E14" s="5">
        <v>9</v>
      </c>
      <c r="F14" s="5">
        <v>9</v>
      </c>
      <c r="G14" s="5">
        <v>3</v>
      </c>
      <c r="H14" s="5">
        <v>6</v>
      </c>
      <c r="I14" s="5">
        <v>33</v>
      </c>
      <c r="J14" s="6" t="s">
        <v>87</v>
      </c>
      <c r="K14" s="6"/>
    </row>
    <row r="15" spans="1:11" x14ac:dyDescent="0.3">
      <c r="A15" s="6" t="s">
        <v>88</v>
      </c>
      <c r="B15" s="6" t="s">
        <v>89</v>
      </c>
      <c r="C15" s="5">
        <v>750</v>
      </c>
      <c r="D15" s="5">
        <v>9</v>
      </c>
      <c r="E15" s="5">
        <v>6</v>
      </c>
      <c r="F15" s="5">
        <v>6</v>
      </c>
      <c r="G15" s="5">
        <v>3</v>
      </c>
      <c r="H15" s="5">
        <v>1</v>
      </c>
      <c r="I15" s="5">
        <v>16</v>
      </c>
      <c r="J15" s="6" t="s">
        <v>90</v>
      </c>
      <c r="K15" s="6"/>
    </row>
    <row r="16" spans="1:11" x14ac:dyDescent="0.3">
      <c r="A16" s="6" t="s">
        <v>91</v>
      </c>
      <c r="B16" s="6" t="s">
        <v>92</v>
      </c>
      <c r="C16" s="5">
        <v>340</v>
      </c>
      <c r="D16" s="5">
        <v>8</v>
      </c>
      <c r="E16" s="5">
        <v>3</v>
      </c>
      <c r="F16" s="5">
        <v>3</v>
      </c>
      <c r="G16" s="5">
        <v>3</v>
      </c>
      <c r="H16" s="5">
        <v>8</v>
      </c>
      <c r="I16" s="5">
        <v>2</v>
      </c>
      <c r="J16" s="6" t="s">
        <v>93</v>
      </c>
      <c r="K16" s="6"/>
    </row>
    <row r="17" spans="1:11" x14ac:dyDescent="0.3">
      <c r="A17" s="6" t="s">
        <v>94</v>
      </c>
      <c r="B17" s="6" t="s">
        <v>95</v>
      </c>
      <c r="C17" s="5">
        <v>160</v>
      </c>
      <c r="D17" s="5">
        <v>9</v>
      </c>
      <c r="E17" s="5">
        <v>4</v>
      </c>
      <c r="F17" s="5">
        <v>4</v>
      </c>
      <c r="G17" s="5">
        <v>3</v>
      </c>
      <c r="H17" s="5">
        <v>8</v>
      </c>
      <c r="I17" s="5">
        <v>19</v>
      </c>
      <c r="J17" s="6" t="s">
        <v>96</v>
      </c>
      <c r="K17" s="6"/>
    </row>
    <row r="18" spans="1:11" x14ac:dyDescent="0.3">
      <c r="A18" s="6" t="s">
        <v>97</v>
      </c>
      <c r="B18" s="6" t="s">
        <v>98</v>
      </c>
      <c r="C18" s="5">
        <v>711</v>
      </c>
      <c r="D18" s="5">
        <v>17</v>
      </c>
      <c r="E18" s="5">
        <v>9</v>
      </c>
      <c r="F18" s="5">
        <v>9</v>
      </c>
      <c r="G18" s="5">
        <v>3</v>
      </c>
      <c r="H18" s="5">
        <v>10</v>
      </c>
      <c r="I18" s="5">
        <v>20</v>
      </c>
      <c r="J18" s="6" t="s">
        <v>99</v>
      </c>
      <c r="K18" s="6"/>
    </row>
    <row r="19" spans="1:11" x14ac:dyDescent="0.3">
      <c r="A19" s="6" t="s">
        <v>100</v>
      </c>
      <c r="B19" s="6" t="s">
        <v>101</v>
      </c>
      <c r="C19" s="5">
        <v>65</v>
      </c>
      <c r="D19" s="5">
        <v>13</v>
      </c>
      <c r="E19" s="5">
        <v>10</v>
      </c>
      <c r="F19" s="5">
        <v>10</v>
      </c>
      <c r="G19" s="5">
        <v>4</v>
      </c>
      <c r="H19" s="5">
        <v>6</v>
      </c>
      <c r="I19" s="5">
        <v>6</v>
      </c>
      <c r="J19" s="6" t="s">
        <v>104</v>
      </c>
      <c r="K19" s="6"/>
    </row>
    <row r="20" spans="1:11" x14ac:dyDescent="0.3">
      <c r="A20" s="6" t="s">
        <v>105</v>
      </c>
      <c r="B20" s="6" t="s">
        <v>101</v>
      </c>
      <c r="C20" s="5">
        <v>110</v>
      </c>
      <c r="D20" s="5">
        <v>2</v>
      </c>
      <c r="E20" s="5">
        <v>11</v>
      </c>
      <c r="F20" s="5">
        <v>11</v>
      </c>
      <c r="G20" s="5">
        <v>4</v>
      </c>
      <c r="H20" s="5">
        <v>6</v>
      </c>
      <c r="I20" s="5">
        <v>17</v>
      </c>
      <c r="J20" s="6" t="s">
        <v>107</v>
      </c>
      <c r="K20" s="6"/>
    </row>
    <row r="21" spans="1:11" x14ac:dyDescent="0.3">
      <c r="A21" s="6" t="s">
        <v>108</v>
      </c>
      <c r="B21" s="6" t="s">
        <v>109</v>
      </c>
      <c r="C21" s="5">
        <v>26</v>
      </c>
      <c r="D21" s="5">
        <v>3</v>
      </c>
      <c r="E21" s="5">
        <v>10</v>
      </c>
      <c r="F21" s="5">
        <v>10</v>
      </c>
      <c r="G21" s="5">
        <v>4</v>
      </c>
      <c r="H21" s="5">
        <v>6</v>
      </c>
      <c r="I21" s="5">
        <v>7</v>
      </c>
      <c r="J21" s="6" t="s">
        <v>110</v>
      </c>
      <c r="K21" s="6"/>
    </row>
    <row r="22" spans="1:11" x14ac:dyDescent="0.3">
      <c r="A22" s="6" t="s">
        <v>111</v>
      </c>
      <c r="B22" s="6" t="s">
        <v>112</v>
      </c>
      <c r="C22" s="5">
        <v>63</v>
      </c>
      <c r="D22" s="5">
        <v>19</v>
      </c>
      <c r="E22" s="5">
        <v>10</v>
      </c>
      <c r="F22" s="5">
        <v>10</v>
      </c>
      <c r="G22" s="5">
        <v>4</v>
      </c>
      <c r="H22" s="5">
        <v>8</v>
      </c>
      <c r="I22" s="5">
        <v>5</v>
      </c>
      <c r="J22" s="6" t="s">
        <v>113</v>
      </c>
      <c r="K22" s="6"/>
    </row>
    <row r="23" spans="1:11" x14ac:dyDescent="0.3">
      <c r="A23" s="6" t="s">
        <v>114</v>
      </c>
      <c r="B23" s="6" t="s">
        <v>115</v>
      </c>
      <c r="C23" s="5">
        <v>326</v>
      </c>
      <c r="D23" s="5">
        <v>12</v>
      </c>
      <c r="E23" s="5">
        <v>12</v>
      </c>
      <c r="F23" s="5">
        <v>12</v>
      </c>
      <c r="G23" s="5">
        <v>4</v>
      </c>
      <c r="H23" s="5">
        <v>6</v>
      </c>
      <c r="I23" s="5">
        <v>3</v>
      </c>
      <c r="J23" s="6" t="s">
        <v>117</v>
      </c>
      <c r="K23" s="6"/>
    </row>
    <row r="24" spans="1:11" x14ac:dyDescent="0.3">
      <c r="A24" s="6" t="s">
        <v>118</v>
      </c>
      <c r="B24" s="6" t="s">
        <v>119</v>
      </c>
      <c r="C24" s="5">
        <v>122</v>
      </c>
      <c r="D24" s="5">
        <v>16</v>
      </c>
      <c r="E24" s="5">
        <v>11</v>
      </c>
      <c r="F24" s="5">
        <v>11</v>
      </c>
      <c r="G24" s="5">
        <v>4</v>
      </c>
      <c r="H24" s="5">
        <v>9</v>
      </c>
      <c r="I24" s="5">
        <v>26</v>
      </c>
      <c r="J24" s="6" t="s">
        <v>120</v>
      </c>
      <c r="K24" s="6"/>
    </row>
    <row r="25" spans="1:11" x14ac:dyDescent="0.3">
      <c r="A25" s="6" t="s">
        <v>121</v>
      </c>
      <c r="B25" s="6" t="s">
        <v>122</v>
      </c>
      <c r="C25" s="5">
        <v>184</v>
      </c>
      <c r="D25" s="5">
        <v>2</v>
      </c>
      <c r="E25" s="5">
        <v>13</v>
      </c>
      <c r="F25" s="5">
        <v>13</v>
      </c>
      <c r="G25" s="5">
        <v>5</v>
      </c>
      <c r="H25" s="5">
        <v>6</v>
      </c>
      <c r="I25" s="5">
        <v>25</v>
      </c>
      <c r="J25" s="6" t="s">
        <v>125</v>
      </c>
      <c r="K25" s="6"/>
    </row>
    <row r="26" spans="1:11" x14ac:dyDescent="0.3">
      <c r="A26" s="6" t="s">
        <v>126</v>
      </c>
      <c r="B26" s="6" t="s">
        <v>127</v>
      </c>
      <c r="C26" s="5">
        <v>154</v>
      </c>
      <c r="D26" s="5">
        <v>10</v>
      </c>
      <c r="E26" s="5">
        <v>14</v>
      </c>
      <c r="F26" s="5">
        <v>14</v>
      </c>
      <c r="G26" s="5">
        <v>5</v>
      </c>
      <c r="H26" s="5">
        <v>6</v>
      </c>
      <c r="I26" s="5">
        <v>8</v>
      </c>
      <c r="J26" s="6" t="s">
        <v>129</v>
      </c>
      <c r="K26" s="6"/>
    </row>
    <row r="27" spans="1:11" x14ac:dyDescent="0.3">
      <c r="A27" s="6" t="s">
        <v>130</v>
      </c>
      <c r="B27" s="6" t="s">
        <v>131</v>
      </c>
      <c r="C27" s="5">
        <v>228</v>
      </c>
      <c r="D27" s="5">
        <v>19</v>
      </c>
      <c r="E27" s="5">
        <v>15</v>
      </c>
      <c r="F27" s="5">
        <v>15</v>
      </c>
      <c r="G27" s="5">
        <v>5</v>
      </c>
      <c r="H27" s="5">
        <v>9</v>
      </c>
      <c r="I27" s="5">
        <v>0</v>
      </c>
      <c r="J27" s="6" t="s">
        <v>133</v>
      </c>
      <c r="K27" s="6"/>
    </row>
    <row r="28" spans="1:11" x14ac:dyDescent="0.3">
      <c r="A28" s="6" t="s">
        <v>134</v>
      </c>
      <c r="B28" s="6" t="s">
        <v>135</v>
      </c>
      <c r="C28" s="5">
        <v>251</v>
      </c>
      <c r="D28" s="5">
        <v>6</v>
      </c>
      <c r="E28" s="5">
        <v>14</v>
      </c>
      <c r="F28" s="5">
        <v>14</v>
      </c>
      <c r="G28" s="5">
        <v>5</v>
      </c>
      <c r="H28" s="5">
        <v>2</v>
      </c>
      <c r="I28" s="5">
        <v>22</v>
      </c>
      <c r="J28" s="6" t="s">
        <v>136</v>
      </c>
      <c r="K28" s="6"/>
    </row>
    <row r="29" spans="1:11" x14ac:dyDescent="0.3">
      <c r="A29" s="6" t="s">
        <v>137</v>
      </c>
      <c r="B29" s="6" t="s">
        <v>138</v>
      </c>
      <c r="C29" s="5">
        <v>36</v>
      </c>
      <c r="D29" s="5">
        <v>17</v>
      </c>
      <c r="E29" s="5">
        <v>16</v>
      </c>
      <c r="F29" s="5">
        <v>16</v>
      </c>
      <c r="G29" s="5">
        <v>5</v>
      </c>
      <c r="H29" s="5">
        <v>3</v>
      </c>
      <c r="I29" s="5">
        <v>22</v>
      </c>
      <c r="J29" s="6" t="s">
        <v>140</v>
      </c>
      <c r="K29" s="6"/>
    </row>
    <row r="30" spans="1:11" x14ac:dyDescent="0.3">
      <c r="A30" s="6" t="s">
        <v>141</v>
      </c>
      <c r="B30" s="6" t="s">
        <v>142</v>
      </c>
      <c r="C30" s="5">
        <v>1500</v>
      </c>
      <c r="D30" s="5">
        <v>1</v>
      </c>
      <c r="E30" s="5">
        <v>17</v>
      </c>
      <c r="F30" s="5">
        <v>17</v>
      </c>
      <c r="G30" s="5">
        <v>5</v>
      </c>
      <c r="H30" s="5">
        <v>2</v>
      </c>
      <c r="I30" s="5">
        <v>0</v>
      </c>
      <c r="J30" s="6" t="s">
        <v>144</v>
      </c>
      <c r="K30" s="6"/>
    </row>
    <row r="31" spans="1:11" x14ac:dyDescent="0.3">
      <c r="A31" s="6" t="s">
        <v>145</v>
      </c>
      <c r="B31" s="6" t="s">
        <v>131</v>
      </c>
      <c r="C31" s="5">
        <v>700</v>
      </c>
      <c r="D31" s="5">
        <v>9</v>
      </c>
      <c r="E31" s="5">
        <v>16</v>
      </c>
      <c r="F31" s="5">
        <v>16</v>
      </c>
      <c r="G31" s="5">
        <v>5</v>
      </c>
      <c r="H31" s="5">
        <v>9</v>
      </c>
      <c r="I31" s="5">
        <v>0</v>
      </c>
      <c r="J31" s="6" t="s">
        <v>146</v>
      </c>
      <c r="K3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F646-655D-4A3C-A310-D1FC2A9C5F6B}">
  <dimension ref="A1:B18"/>
  <sheetViews>
    <sheetView workbookViewId="0">
      <selection activeCell="B2" sqref="B2:B18"/>
    </sheetView>
  </sheetViews>
  <sheetFormatPr defaultRowHeight="14.4" x14ac:dyDescent="0.3"/>
  <cols>
    <col min="2" max="2" width="18" bestFit="1" customWidth="1"/>
  </cols>
  <sheetData>
    <row r="1" spans="1:2" x14ac:dyDescent="0.3">
      <c r="A1" t="s">
        <v>23</v>
      </c>
      <c r="B1" t="s">
        <v>26</v>
      </c>
    </row>
    <row r="2" spans="1:2" x14ac:dyDescent="0.3">
      <c r="A2" s="3">
        <v>1</v>
      </c>
      <c r="B2" s="4" t="s">
        <v>32</v>
      </c>
    </row>
    <row r="3" spans="1:2" x14ac:dyDescent="0.3">
      <c r="A3" s="3">
        <f>A2+1</f>
        <v>2</v>
      </c>
      <c r="B3" s="4" t="s">
        <v>38</v>
      </c>
    </row>
    <row r="4" spans="1:2" x14ac:dyDescent="0.3">
      <c r="A4" s="3">
        <f t="shared" ref="A4:A18" si="0">A3+1</f>
        <v>3</v>
      </c>
      <c r="B4" s="4" t="s">
        <v>46</v>
      </c>
    </row>
    <row r="5" spans="1:2" x14ac:dyDescent="0.3">
      <c r="A5" s="3">
        <f t="shared" si="0"/>
        <v>4</v>
      </c>
      <c r="B5" s="4" t="s">
        <v>51</v>
      </c>
    </row>
    <row r="6" spans="1:2" x14ac:dyDescent="0.3">
      <c r="A6" s="3">
        <f t="shared" si="0"/>
        <v>5</v>
      </c>
      <c r="B6" s="4" t="s">
        <v>56</v>
      </c>
    </row>
    <row r="7" spans="1:2" x14ac:dyDescent="0.3">
      <c r="A7" s="3">
        <f t="shared" si="0"/>
        <v>6</v>
      </c>
      <c r="B7" s="4" t="s">
        <v>62</v>
      </c>
    </row>
    <row r="8" spans="1:2" x14ac:dyDescent="0.3">
      <c r="A8" s="3">
        <f t="shared" si="0"/>
        <v>7</v>
      </c>
      <c r="B8" s="4" t="s">
        <v>67</v>
      </c>
    </row>
    <row r="9" spans="1:2" x14ac:dyDescent="0.3">
      <c r="A9" s="3">
        <f t="shared" si="0"/>
        <v>8</v>
      </c>
      <c r="B9" s="4" t="s">
        <v>79</v>
      </c>
    </row>
    <row r="10" spans="1:2" x14ac:dyDescent="0.3">
      <c r="A10" s="3">
        <f t="shared" si="0"/>
        <v>9</v>
      </c>
      <c r="B10" s="4" t="s">
        <v>86</v>
      </c>
    </row>
    <row r="11" spans="1:2" x14ac:dyDescent="0.3">
      <c r="A11" s="3">
        <f t="shared" si="0"/>
        <v>10</v>
      </c>
      <c r="B11" s="4" t="s">
        <v>102</v>
      </c>
    </row>
    <row r="12" spans="1:2" x14ac:dyDescent="0.3">
      <c r="A12" s="3">
        <f t="shared" si="0"/>
        <v>11</v>
      </c>
      <c r="B12" s="4" t="s">
        <v>106</v>
      </c>
    </row>
    <row r="13" spans="1:2" x14ac:dyDescent="0.3">
      <c r="A13" s="3">
        <f t="shared" si="0"/>
        <v>12</v>
      </c>
      <c r="B13" s="4" t="s">
        <v>116</v>
      </c>
    </row>
    <row r="14" spans="1:2" x14ac:dyDescent="0.3">
      <c r="A14" s="3">
        <f t="shared" si="0"/>
        <v>13</v>
      </c>
      <c r="B14" s="4" t="s">
        <v>123</v>
      </c>
    </row>
    <row r="15" spans="1:2" x14ac:dyDescent="0.3">
      <c r="A15" s="3">
        <f t="shared" si="0"/>
        <v>14</v>
      </c>
      <c r="B15" s="4" t="s">
        <v>128</v>
      </c>
    </row>
    <row r="16" spans="1:2" x14ac:dyDescent="0.3">
      <c r="A16" s="3">
        <f t="shared" si="0"/>
        <v>15</v>
      </c>
      <c r="B16" s="4" t="s">
        <v>132</v>
      </c>
    </row>
    <row r="17" spans="1:2" x14ac:dyDescent="0.3">
      <c r="A17" s="3">
        <f t="shared" si="0"/>
        <v>16</v>
      </c>
      <c r="B17" s="4" t="s">
        <v>139</v>
      </c>
    </row>
    <row r="18" spans="1:2" x14ac:dyDescent="0.3">
      <c r="A18" s="3">
        <f t="shared" si="0"/>
        <v>17</v>
      </c>
      <c r="B18" s="4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E35C-BFF0-47A0-B281-9759294D1EEB}">
  <dimension ref="A1:B18"/>
  <sheetViews>
    <sheetView workbookViewId="0">
      <selection activeCell="B2" sqref="B2:B18"/>
    </sheetView>
  </sheetViews>
  <sheetFormatPr defaultRowHeight="14.4" x14ac:dyDescent="0.3"/>
  <cols>
    <col min="2" max="2" width="18" bestFit="1" customWidth="1"/>
  </cols>
  <sheetData>
    <row r="1" spans="1:2" x14ac:dyDescent="0.3">
      <c r="A1" t="s">
        <v>23</v>
      </c>
      <c r="B1" t="s">
        <v>26</v>
      </c>
    </row>
    <row r="2" spans="1:2" x14ac:dyDescent="0.3">
      <c r="A2" s="3">
        <v>1</v>
      </c>
      <c r="B2" s="4" t="s">
        <v>32</v>
      </c>
    </row>
    <row r="3" spans="1:2" x14ac:dyDescent="0.3">
      <c r="A3" s="3">
        <f>A2+1</f>
        <v>2</v>
      </c>
      <c r="B3" s="4" t="s">
        <v>38</v>
      </c>
    </row>
    <row r="4" spans="1:2" x14ac:dyDescent="0.3">
      <c r="A4" s="3">
        <f t="shared" ref="A4:A18" si="0">A3+1</f>
        <v>3</v>
      </c>
      <c r="B4" s="4" t="s">
        <v>46</v>
      </c>
    </row>
    <row r="5" spans="1:2" x14ac:dyDescent="0.3">
      <c r="A5" s="3">
        <f t="shared" si="0"/>
        <v>4</v>
      </c>
      <c r="B5" s="4" t="s">
        <v>51</v>
      </c>
    </row>
    <row r="6" spans="1:2" x14ac:dyDescent="0.3">
      <c r="A6" s="3">
        <f t="shared" si="0"/>
        <v>5</v>
      </c>
      <c r="B6" s="4" t="s">
        <v>56</v>
      </c>
    </row>
    <row r="7" spans="1:2" x14ac:dyDescent="0.3">
      <c r="A7" s="3">
        <f t="shared" si="0"/>
        <v>6</v>
      </c>
      <c r="B7" s="4" t="s">
        <v>62</v>
      </c>
    </row>
    <row r="8" spans="1:2" x14ac:dyDescent="0.3">
      <c r="A8" s="3">
        <f t="shared" si="0"/>
        <v>7</v>
      </c>
      <c r="B8" s="4" t="s">
        <v>67</v>
      </c>
    </row>
    <row r="9" spans="1:2" x14ac:dyDescent="0.3">
      <c r="A9" s="3">
        <f t="shared" si="0"/>
        <v>8</v>
      </c>
      <c r="B9" s="4" t="s">
        <v>79</v>
      </c>
    </row>
    <row r="10" spans="1:2" x14ac:dyDescent="0.3">
      <c r="A10" s="3">
        <f t="shared" si="0"/>
        <v>9</v>
      </c>
      <c r="B10" s="4" t="s">
        <v>86</v>
      </c>
    </row>
    <row r="11" spans="1:2" x14ac:dyDescent="0.3">
      <c r="A11" s="3">
        <f t="shared" si="0"/>
        <v>10</v>
      </c>
      <c r="B11" s="4" t="s">
        <v>102</v>
      </c>
    </row>
    <row r="12" spans="1:2" x14ac:dyDescent="0.3">
      <c r="A12" s="3">
        <f t="shared" si="0"/>
        <v>11</v>
      </c>
      <c r="B12" s="4" t="s">
        <v>106</v>
      </c>
    </row>
    <row r="13" spans="1:2" x14ac:dyDescent="0.3">
      <c r="A13" s="3">
        <f t="shared" si="0"/>
        <v>12</v>
      </c>
      <c r="B13" s="4" t="s">
        <v>116</v>
      </c>
    </row>
    <row r="14" spans="1:2" x14ac:dyDescent="0.3">
      <c r="A14" s="3">
        <f t="shared" si="0"/>
        <v>13</v>
      </c>
      <c r="B14" s="4" t="s">
        <v>123</v>
      </c>
    </row>
    <row r="15" spans="1:2" x14ac:dyDescent="0.3">
      <c r="A15" s="3">
        <f t="shared" si="0"/>
        <v>14</v>
      </c>
      <c r="B15" s="4" t="s">
        <v>128</v>
      </c>
    </row>
    <row r="16" spans="1:2" x14ac:dyDescent="0.3">
      <c r="A16" s="3">
        <f t="shared" si="0"/>
        <v>15</v>
      </c>
      <c r="B16" s="4" t="s">
        <v>132</v>
      </c>
    </row>
    <row r="17" spans="1:2" x14ac:dyDescent="0.3">
      <c r="A17" s="3">
        <f t="shared" si="0"/>
        <v>16</v>
      </c>
      <c r="B17" s="4" t="s">
        <v>139</v>
      </c>
    </row>
    <row r="18" spans="1:2" x14ac:dyDescent="0.3">
      <c r="A18" s="3">
        <f t="shared" si="0"/>
        <v>17</v>
      </c>
      <c r="B18" s="4" t="s">
        <v>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1D5-1D5A-4075-816A-3143D3909023}">
  <dimension ref="A1:B6"/>
  <sheetViews>
    <sheetView workbookViewId="0">
      <selection activeCell="B6" sqref="B6"/>
    </sheetView>
  </sheetViews>
  <sheetFormatPr defaultColWidth="0" defaultRowHeight="14.4" zeroHeight="1" x14ac:dyDescent="0.3"/>
  <cols>
    <col min="1" max="1" width="8.796875" customWidth="1"/>
    <col min="2" max="2" width="42.69921875" bestFit="1" customWidth="1"/>
    <col min="3" max="16384" width="8.796875" hidden="1"/>
  </cols>
  <sheetData>
    <row r="1" spans="1:2" x14ac:dyDescent="0.3">
      <c r="A1" t="s">
        <v>23</v>
      </c>
      <c r="B1" t="s">
        <v>26</v>
      </c>
    </row>
    <row r="2" spans="1:2" x14ac:dyDescent="0.3">
      <c r="A2" s="3">
        <v>1</v>
      </c>
      <c r="B2" s="4" t="s">
        <v>33</v>
      </c>
    </row>
    <row r="3" spans="1:2" x14ac:dyDescent="0.3">
      <c r="A3" s="3">
        <f>A2+1</f>
        <v>2</v>
      </c>
      <c r="B3" s="4" t="s">
        <v>57</v>
      </c>
    </row>
    <row r="4" spans="1:2" x14ac:dyDescent="0.3">
      <c r="A4" s="3">
        <f t="shared" ref="A4:A6" si="0">A3+1</f>
        <v>3</v>
      </c>
      <c r="B4" s="4" t="s">
        <v>83</v>
      </c>
    </row>
    <row r="5" spans="1:2" x14ac:dyDescent="0.3">
      <c r="A5" s="3">
        <f t="shared" si="0"/>
        <v>4</v>
      </c>
      <c r="B5" s="4" t="s">
        <v>103</v>
      </c>
    </row>
    <row r="6" spans="1:2" x14ac:dyDescent="0.3">
      <c r="A6" s="3">
        <f t="shared" si="0"/>
        <v>5</v>
      </c>
      <c r="B6" s="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User</vt:lpstr>
      <vt:lpstr>Role</vt:lpstr>
      <vt:lpstr>Order</vt:lpstr>
      <vt:lpstr>OrderProduct</vt:lpstr>
      <vt:lpstr>OrderStatus</vt:lpstr>
      <vt:lpstr>PickupAddress</vt:lpstr>
      <vt:lpstr>Product</vt:lpstr>
      <vt:lpstr>Supplier</vt:lpstr>
      <vt:lpstr>Manufacturer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Smagin</dc:creator>
  <cp:lastModifiedBy>Анастасия Бородина</cp:lastModifiedBy>
  <dcterms:created xsi:type="dcterms:W3CDTF">2015-06-05T18:17:20Z</dcterms:created>
  <dcterms:modified xsi:type="dcterms:W3CDTF">2026-03-03T14:28:31Z</dcterms:modified>
</cp:coreProperties>
</file>